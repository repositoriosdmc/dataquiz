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075919031\Documents\"/>
    </mc:Choice>
  </mc:AlternateContent>
  <xr:revisionPtr revIDLastSave="0" documentId="13_ncr:1_{0026425F-0B7D-4D44-BFBB-80796FAAB150}" xr6:coauthVersionLast="47" xr6:coauthVersionMax="47" xr10:uidLastSave="{00000000-0000-0000-0000-000000000000}"/>
  <bookViews>
    <workbookView xWindow="28680" yWindow="-120" windowWidth="29040" windowHeight="15720" activeTab="2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_xlnm._FilterDatabase" localSheetId="0" hidden="1">'1.FUNCIONES AGREGADAS'!$A$14:$H$54</definedName>
    <definedName name="aa">1</definedName>
    <definedName name="accesorios">#REF!</definedName>
    <definedName name="anscount" localSheetId="0" hidden="1">2</definedName>
    <definedName name="anscount">1</definedName>
    <definedName name="BD_Empleados">Tabla1[#All]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1" l="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68" i="11"/>
  <c r="H69" i="11"/>
  <c r="H70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68" i="11"/>
  <c r="Q9" i="12"/>
  <c r="Q10" i="12"/>
  <c r="Q8" i="12"/>
  <c r="Q7" i="12"/>
  <c r="F123" i="11"/>
  <c r="F124" i="11"/>
  <c r="F125" i="11"/>
  <c r="F126" i="11"/>
  <c r="F127" i="11"/>
  <c r="F128" i="11"/>
  <c r="F129" i="11"/>
  <c r="F130" i="11"/>
  <c r="F131" i="11"/>
  <c r="F132" i="11"/>
  <c r="F133" i="11"/>
  <c r="F122" i="11"/>
  <c r="E123" i="11"/>
  <c r="E124" i="11"/>
  <c r="E125" i="11"/>
  <c r="E126" i="11"/>
  <c r="E127" i="11"/>
  <c r="E128" i="11"/>
  <c r="E129" i="11"/>
  <c r="E130" i="11"/>
  <c r="E131" i="11"/>
  <c r="E132" i="11"/>
  <c r="E133" i="11"/>
  <c r="E122" i="11"/>
  <c r="E50" i="11"/>
  <c r="E51" i="11"/>
  <c r="E52" i="11"/>
  <c r="E53" i="11"/>
  <c r="E54" i="11"/>
  <c r="E55" i="11"/>
  <c r="E56" i="11"/>
  <c r="E57" i="11"/>
  <c r="E58" i="11"/>
  <c r="E49" i="11"/>
  <c r="G38" i="11"/>
  <c r="G30" i="11"/>
  <c r="G31" i="11"/>
  <c r="G32" i="11"/>
  <c r="G33" i="11"/>
  <c r="G34" i="11"/>
  <c r="G35" i="11"/>
  <c r="G29" i="11"/>
  <c r="E36" i="11"/>
  <c r="F36" i="11"/>
  <c r="D36" i="11"/>
  <c r="G20" i="11"/>
  <c r="G21" i="11"/>
  <c r="G22" i="11"/>
  <c r="G23" i="11"/>
  <c r="G26" i="11" s="1"/>
  <c r="G24" i="11"/>
  <c r="G25" i="11"/>
  <c r="G19" i="11"/>
  <c r="F26" i="11"/>
  <c r="E26" i="11"/>
  <c r="D26" i="11"/>
  <c r="G15" i="11"/>
  <c r="G14" i="11"/>
  <c r="G13" i="11"/>
  <c r="G12" i="11"/>
  <c r="G11" i="11"/>
  <c r="G16" i="11" s="1"/>
  <c r="G10" i="11"/>
  <c r="F16" i="11"/>
  <c r="E16" i="11"/>
  <c r="D16" i="11"/>
  <c r="Q6" i="12"/>
  <c r="H11" i="12"/>
  <c r="H9" i="12"/>
  <c r="H10" i="12"/>
  <c r="H8" i="12"/>
  <c r="H7" i="12"/>
  <c r="H6" i="12"/>
  <c r="D16" i="13"/>
  <c r="E16" i="13"/>
  <c r="D17" i="13"/>
  <c r="E17" i="13"/>
  <c r="C17" i="13"/>
  <c r="C16" i="13"/>
  <c r="G3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<sst xmlns="http://schemas.openxmlformats.org/spreadsheetml/2006/main" count="804" uniqueCount="331">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</sst>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409]#,##0.00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  <numFmt numFmtId="169" formatCode="&quot;S/&quot;\ 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164" fontId="27" fillId="0" borderId="13" xfId="7" applyNumberFormat="1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8" xfId="0" applyNumberFormat="1" applyFont="1" applyBorder="1" applyAlignment="1">
      <alignment horizontal="center"/>
    </xf>
    <xf numFmtId="168" fontId="43" fillId="0" borderId="18" xfId="11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18" xfId="5" applyNumberFormat="1" applyFont="1" applyBorder="1" applyAlignment="1">
      <alignment horizontal="center"/>
    </xf>
    <xf numFmtId="167" fontId="43" fillId="0" borderId="18" xfId="11" applyFont="1" applyBorder="1" applyAlignment="1">
      <alignment horizontal="center"/>
    </xf>
    <xf numFmtId="0" fontId="44" fillId="0" borderId="18" xfId="10" applyFont="1" applyBorder="1" applyAlignment="1">
      <alignment horizontal="center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42" fillId="15" borderId="19" xfId="0" applyFont="1" applyFill="1" applyBorder="1" applyAlignment="1">
      <alignment horizontal="center" vertical="center" wrapText="1"/>
    </xf>
    <xf numFmtId="14" fontId="42" fillId="15" borderId="19" xfId="0" applyNumberFormat="1" applyFont="1" applyFill="1" applyBorder="1" applyAlignment="1">
      <alignment horizontal="center" vertical="center" wrapText="1"/>
    </xf>
    <xf numFmtId="0" fontId="42" fillId="15" borderId="19" xfId="10" applyFont="1" applyFill="1" applyBorder="1" applyAlignment="1">
      <alignment horizontal="center" vertical="center" wrapText="1"/>
    </xf>
    <xf numFmtId="14" fontId="43" fillId="0" borderId="20" xfId="0" applyNumberFormat="1" applyFont="1" applyBorder="1" applyAlignment="1">
      <alignment horizontal="center"/>
    </xf>
    <xf numFmtId="168" fontId="43" fillId="0" borderId="20" xfId="11" applyNumberFormat="1" applyFont="1" applyBorder="1" applyAlignment="1">
      <alignment horizontal="center"/>
    </xf>
    <xf numFmtId="0" fontId="43" fillId="0" borderId="20" xfId="0" applyFont="1" applyBorder="1" applyAlignment="1">
      <alignment horizontal="center"/>
    </xf>
    <xf numFmtId="0" fontId="43" fillId="0" borderId="20" xfId="5" applyNumberFormat="1" applyFont="1" applyBorder="1" applyAlignment="1">
      <alignment horizontal="center"/>
    </xf>
    <xf numFmtId="167" fontId="43" fillId="0" borderId="20" xfId="11" applyFont="1" applyBorder="1" applyAlignment="1">
      <alignment horizontal="center"/>
    </xf>
    <xf numFmtId="0" fontId="44" fillId="0" borderId="20" xfId="10" applyFont="1" applyBorder="1" applyAlignment="1">
      <alignment horizontal="center"/>
    </xf>
    <xf numFmtId="0" fontId="0" fillId="0" borderId="2" xfId="0" applyBorder="1"/>
    <xf numFmtId="0" fontId="45" fillId="16" borderId="2" xfId="0" applyFont="1" applyFill="1" applyBorder="1"/>
    <xf numFmtId="0" fontId="45" fillId="17" borderId="2" xfId="0" applyFont="1" applyFill="1" applyBorder="1"/>
    <xf numFmtId="169" fontId="0" fillId="0" borderId="2" xfId="0" applyNumberFormat="1" applyBorder="1"/>
    <xf numFmtId="0" fontId="0" fillId="2" borderId="2" xfId="0" applyFill="1" applyBorder="1"/>
    <xf numFmtId="169" fontId="0" fillId="2" borderId="2" xfId="0" applyNumberFormat="1" applyFill="1" applyBorder="1"/>
    <xf numFmtId="0" fontId="46" fillId="0" borderId="0" xfId="0" applyFont="1"/>
    <xf numFmtId="3" fontId="39" fillId="0" borderId="16" xfId="2" applyNumberFormat="1" applyFont="1" applyBorder="1"/>
    <xf numFmtId="3" fontId="38" fillId="2" borderId="16" xfId="5" applyNumberFormat="1" applyFont="1" applyFill="1" applyBorder="1" applyAlignment="1"/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3">
    <dxf>
      <fill>
        <patternFill>
          <bgColor theme="4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theme="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8" formatCode="_-[$$-80A]* #,##0.00_-;\-[$$-80A]* #,##0.00_-;_-[$$-80A]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border outline="0">
        <top style="thin">
          <color theme="0"/>
        </top>
        <bottom style="thin">
          <color rgb="FF00293F"/>
        </bottom>
      </border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553641</xdr:colOff>
      <xdr:row>5</xdr:row>
      <xdr:rowOff>11907</xdr:rowOff>
    </xdr:from>
    <xdr:to>
      <xdr:col>11</xdr:col>
      <xdr:colOff>17971</xdr:colOff>
      <xdr:row>18</xdr:row>
      <xdr:rowOff>55718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3641" y="1220391"/>
          <a:ext cx="4040140" cy="25165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0E8A5-8A9E-4C88-A4AA-2E87F580FEC2}" name="Tabla1" displayName="Tabla1" ref="A5:J44" totalsRowShown="0" headerRowDxfId="1" tableBorderDxfId="12" headerRowCellStyle="Standard 2">
  <autoFilter ref="A5:J44" xr:uid="{D530E8A5-8A9E-4C88-A4AA-2E87F580FEC2}">
    <filterColumn colId="5">
      <filters>
        <filter val="Tarde"/>
      </filters>
    </filterColumn>
    <filterColumn colId="9">
      <customFilters>
        <customFilter operator="greaterThan" val="3"/>
      </customFilters>
    </filterColumn>
  </autoFilter>
  <sortState xmlns:xlrd2="http://schemas.microsoft.com/office/spreadsheetml/2017/richdata2" ref="A6:J44">
    <sortCondition descending="1" ref="J6:J44"/>
    <sortCondition ref="I6:I44"/>
  </sortState>
  <tableColumns count="10">
    <tableColumn id="1" xr3:uid="{EA317F3A-B2CC-4DD0-A987-0D2523964DB5}" name="ID_EMPLEADO" dataDxfId="11"/>
    <tableColumn id="2" xr3:uid="{3F6AD5D4-D89B-4AB5-AA91-728E9E1D71B7}" name="Nombre" dataDxfId="10"/>
    <tableColumn id="3" xr3:uid="{EA24BDAD-DF59-4921-8A52-7EEF921FFE99}" name="Fecha de inicio" dataDxfId="9"/>
    <tableColumn id="4" xr3:uid="{768E4D27-1C40-46D9-BD25-38BFC50616E9}" name="Sector" dataDxfId="8" dataCellStyle="Moneda 2"/>
    <tableColumn id="5" xr3:uid="{E4F7E153-DC46-4E3A-AAEA-323536DB18FD}" name="Sexo" dataDxfId="7"/>
    <tableColumn id="6" xr3:uid="{0EC39905-37F4-4DFD-8794-C30F93712B63}" name="Turno" dataDxfId="6" dataCellStyle="Millares"/>
    <tableColumn id="7" xr3:uid="{7C78A4A3-7D88-43D3-A504-BBFF230AB187}" name="Año" dataDxfId="5"/>
    <tableColumn id="8" xr3:uid="{78F4ABC3-29B2-4214-9AE2-7A3AE8AA4E8B}" name="Salario Base" dataDxfId="4" dataCellStyle="Moneda 2"/>
    <tableColumn id="9" xr3:uid="{28BE8F1D-F09A-4AF3-8993-419FA3AA77DC}" name="Departamento" dataDxfId="3" dataCellStyle="Standard 2"/>
    <tableColumn id="10" xr3:uid="{721903D2-F5FF-4DD0-8ECA-287BC1B7A171}" name="Dias de incapacidad" dataDxfId="2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topLeftCell="A26" zoomScale="120" zoomScaleNormal="120" workbookViewId="0">
      <selection activeCell="Q10" sqref="Q10"/>
    </sheetView>
  </sheetViews>
  <sheetFormatPr baseColWidth="10" defaultRowHeight="14.4" x14ac:dyDescent="0.3"/>
  <cols>
    <col min="1" max="1" width="26.5546875" bestFit="1" customWidth="1"/>
    <col min="3" max="3" width="4.6640625" bestFit="1" customWidth="1"/>
    <col min="4" max="4" width="13" customWidth="1"/>
    <col min="5" max="5" width="6.5546875" customWidth="1"/>
    <col min="6" max="6" width="13" customWidth="1"/>
    <col min="9" max="9" width="3.88671875" customWidth="1"/>
    <col min="10" max="10" width="4.88671875" customWidth="1"/>
  </cols>
  <sheetData>
    <row r="1" spans="1:22" s="14" customFormat="1" ht="26.25" customHeight="1" x14ac:dyDescent="0.55000000000000004">
      <c r="A1" s="11"/>
      <c r="B1" s="79" t="s">
        <v>135</v>
      </c>
      <c r="C1" s="79"/>
      <c r="D1" s="79"/>
      <c r="E1" s="79"/>
      <c r="F1" s="79"/>
      <c r="G1" s="79"/>
      <c r="H1" s="79"/>
      <c r="I1" s="79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79"/>
      <c r="C2" s="79"/>
      <c r="D2" s="79"/>
      <c r="E2" s="79"/>
      <c r="F2" s="79"/>
      <c r="G2" s="79"/>
      <c r="H2" s="79"/>
      <c r="I2" s="79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.399999999999999" thickBot="1" x14ac:dyDescent="0.45">
      <c r="A3" s="78" t="s">
        <v>9</v>
      </c>
      <c r="B3" s="78"/>
      <c r="C3" s="78"/>
      <c r="D3" s="78"/>
      <c r="E3" s="78"/>
      <c r="F3" s="78"/>
      <c r="G3" s="78"/>
      <c r="H3" s="78"/>
    </row>
    <row r="4" spans="1:22" ht="22.5" customHeight="1" thickTop="1" x14ac:dyDescent="0.5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5">
      <c r="A5" s="2"/>
      <c r="B5" s="3"/>
      <c r="C5" s="3"/>
      <c r="D5" s="3"/>
      <c r="E5" s="3"/>
      <c r="F5" s="3"/>
      <c r="G5" s="3"/>
      <c r="H5" s="3"/>
    </row>
    <row r="6" spans="1:22" ht="15" customHeight="1" x14ac:dyDescent="0.3">
      <c r="A6" s="19" t="s">
        <v>10</v>
      </c>
      <c r="H6" s="17">
        <f>SUM(C15:C48)</f>
        <v>2037</v>
      </c>
      <c r="K6" s="16" t="s">
        <v>86</v>
      </c>
      <c r="Q6" s="5">
        <f>COUNTIF(D15:D54,"Dependiente")</f>
        <v>15</v>
      </c>
    </row>
    <row r="7" spans="1:22" ht="15" customHeight="1" x14ac:dyDescent="0.3">
      <c r="A7" s="19" t="s">
        <v>11</v>
      </c>
      <c r="H7" s="17">
        <f>MAX(E15:E54)</f>
        <v>40.5</v>
      </c>
      <c r="K7" s="16" t="s">
        <v>12</v>
      </c>
      <c r="Q7" s="5">
        <f ca="1">AVERAGEIF(E15:G54,"Positivo",C15:C54)</f>
        <v>39.595000000000006</v>
      </c>
    </row>
    <row r="8" spans="1:22" ht="15" customHeight="1" x14ac:dyDescent="0.3">
      <c r="A8" s="19" t="s">
        <v>13</v>
      </c>
      <c r="H8" s="17">
        <f>MIN(E15:E54)</f>
        <v>37.5</v>
      </c>
      <c r="K8" s="16" t="s">
        <v>14</v>
      </c>
      <c r="Q8" s="5">
        <f ca="1">AVERAGEIF(B15:C54,"Femenino",C15:C54)</f>
        <v>60.8125</v>
      </c>
    </row>
    <row r="9" spans="1:22" ht="15" customHeight="1" x14ac:dyDescent="0.3">
      <c r="A9" s="19" t="s">
        <v>15</v>
      </c>
      <c r="H9" s="17">
        <f>COUNTA(C15:C54)</f>
        <v>38</v>
      </c>
      <c r="K9" s="16" t="s">
        <v>16</v>
      </c>
      <c r="Q9" s="5">
        <f>SUMIFS(C15:C54,B15:B54,"Masculino",G15:G54,"Negativo")</f>
        <v>826</v>
      </c>
    </row>
    <row r="10" spans="1:22" ht="15" customHeight="1" x14ac:dyDescent="0.3">
      <c r="A10" s="19" t="s">
        <v>17</v>
      </c>
      <c r="H10" s="17">
        <f>COUNTA(A15:A54)</f>
        <v>40</v>
      </c>
      <c r="K10" s="16" t="s">
        <v>18</v>
      </c>
      <c r="Q10" s="5">
        <f>COUNTIFS(D15:D54,"Dependiente",H15:H54,"Rapida")</f>
        <v>7</v>
      </c>
    </row>
    <row r="11" spans="1:22" ht="15" customHeight="1" x14ac:dyDescent="0.3">
      <c r="A11" s="19" t="s">
        <v>19</v>
      </c>
      <c r="H11" s="18">
        <f>AVERAGE(C15:C54)</f>
        <v>61.763157894736842</v>
      </c>
    </row>
    <row r="12" spans="1:22" ht="15" customHeight="1" x14ac:dyDescent="0.5">
      <c r="A12" s="4"/>
      <c r="B12" s="3"/>
      <c r="C12" s="3"/>
      <c r="D12" s="3"/>
      <c r="E12" s="3"/>
      <c r="F12" s="3"/>
      <c r="G12" s="3"/>
      <c r="H12" s="6"/>
    </row>
    <row r="14" spans="1:22" ht="41.4" x14ac:dyDescent="0.3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3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3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3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3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3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3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3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3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3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3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3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3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3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3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3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3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3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3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3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3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3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3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3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3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3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3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3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3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3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3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3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3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3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3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3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3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3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3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3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3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autoFilter ref="A14:H54" xr:uid="{61DA90C5-B5B9-45AC-8C5F-429C16A80AD6}"/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zoomScale="160" zoomScaleNormal="160" workbookViewId="0">
      <selection activeCell="E6" sqref="E6"/>
    </sheetView>
  </sheetViews>
  <sheetFormatPr baseColWidth="10" defaultRowHeight="14.4" x14ac:dyDescent="0.3"/>
  <sheetData>
    <row r="1" spans="1:22" s="14" customFormat="1" ht="26.25" customHeight="1" x14ac:dyDescent="0.55000000000000004">
      <c r="A1" s="11"/>
      <c r="B1" s="79" t="s">
        <v>136</v>
      </c>
      <c r="C1" s="79"/>
      <c r="D1" s="79"/>
      <c r="E1" s="79"/>
      <c r="F1" s="79"/>
      <c r="G1" s="79"/>
      <c r="H1" s="79"/>
      <c r="I1" s="79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55000000000000004">
      <c r="A2" s="11"/>
      <c r="B2" s="79"/>
      <c r="C2" s="79"/>
      <c r="D2" s="79"/>
      <c r="E2" s="79"/>
      <c r="F2" s="79"/>
      <c r="G2" s="79"/>
      <c r="H2" s="79"/>
      <c r="I2" s="79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3"/>
    <row r="4" spans="1:22" ht="18" x14ac:dyDescent="0.35">
      <c r="A4" s="20" t="s">
        <v>85</v>
      </c>
    </row>
    <row r="6" spans="1:22" x14ac:dyDescent="0.3">
      <c r="B6" s="102" t="s">
        <v>84</v>
      </c>
    </row>
    <row r="8" spans="1:22" x14ac:dyDescent="0.3">
      <c r="B8" s="96"/>
      <c r="C8" s="98" t="s">
        <v>73</v>
      </c>
      <c r="D8" s="98" t="s">
        <v>74</v>
      </c>
      <c r="E8" s="98" t="s">
        <v>75</v>
      </c>
    </row>
    <row r="9" spans="1:22" x14ac:dyDescent="0.3">
      <c r="B9" s="97" t="s">
        <v>76</v>
      </c>
      <c r="C9" s="99">
        <v>18000</v>
      </c>
      <c r="D9" s="99">
        <v>17500</v>
      </c>
      <c r="E9" s="99">
        <v>26000</v>
      </c>
    </row>
    <row r="10" spans="1:22" x14ac:dyDescent="0.3">
      <c r="B10" s="97" t="s">
        <v>4</v>
      </c>
      <c r="C10" s="99">
        <v>21500</v>
      </c>
      <c r="D10" s="99">
        <v>10000</v>
      </c>
      <c r="E10" s="99">
        <v>19500</v>
      </c>
    </row>
    <row r="11" spans="1:22" x14ac:dyDescent="0.3">
      <c r="B11" s="97" t="s">
        <v>77</v>
      </c>
      <c r="C11" s="99">
        <v>12000</v>
      </c>
      <c r="D11" s="99">
        <v>14000</v>
      </c>
      <c r="E11" s="99">
        <v>15900</v>
      </c>
    </row>
    <row r="12" spans="1:22" x14ac:dyDescent="0.3">
      <c r="B12" s="97" t="s">
        <v>78</v>
      </c>
      <c r="C12" s="99">
        <v>14500</v>
      </c>
      <c r="D12" s="99">
        <v>12000</v>
      </c>
      <c r="E12" s="99">
        <v>11000</v>
      </c>
    </row>
    <row r="13" spans="1:22" x14ac:dyDescent="0.3">
      <c r="B13" s="97" t="s">
        <v>79</v>
      </c>
      <c r="C13" s="99">
        <v>19000</v>
      </c>
      <c r="D13" s="99">
        <v>20000</v>
      </c>
      <c r="E13" s="99">
        <v>23000</v>
      </c>
    </row>
    <row r="14" spans="1:22" x14ac:dyDescent="0.3">
      <c r="B14" s="97" t="s">
        <v>80</v>
      </c>
      <c r="C14" s="99">
        <v>24000</v>
      </c>
      <c r="D14" s="99">
        <v>21000</v>
      </c>
      <c r="E14" s="99">
        <v>23000</v>
      </c>
    </row>
    <row r="15" spans="1:22" x14ac:dyDescent="0.3">
      <c r="B15" s="97" t="s">
        <v>81</v>
      </c>
      <c r="C15" s="99">
        <v>13000</v>
      </c>
      <c r="D15" s="99">
        <v>14500</v>
      </c>
      <c r="E15" s="99">
        <v>15000</v>
      </c>
    </row>
    <row r="16" spans="1:22" x14ac:dyDescent="0.3">
      <c r="B16" s="100" t="s">
        <v>82</v>
      </c>
      <c r="C16" s="101">
        <f>SUM(C9:C15)</f>
        <v>122000</v>
      </c>
      <c r="D16" s="101">
        <f t="shared" ref="D16:E16" si="0">SUM(D9:D15)</f>
        <v>109000</v>
      </c>
      <c r="E16" s="101">
        <f t="shared" si="0"/>
        <v>133400</v>
      </c>
    </row>
    <row r="17" spans="2:5" x14ac:dyDescent="0.3">
      <c r="B17" s="100" t="s">
        <v>83</v>
      </c>
      <c r="C17" s="101">
        <f>AVERAGE(C9:C15)</f>
        <v>17428.571428571428</v>
      </c>
      <c r="D17" s="101">
        <f t="shared" ref="D17:E17" si="1">AVERAGE(D9:D15)</f>
        <v>15571.428571428571</v>
      </c>
      <c r="E17" s="101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3"/>
  <sheetViews>
    <sheetView showGridLines="0" tabSelected="1" topLeftCell="A51" zoomScale="145" zoomScaleNormal="145" workbookViewId="0">
      <selection activeCell="I73" sqref="I73:J73"/>
    </sheetView>
  </sheetViews>
  <sheetFormatPr baseColWidth="10" defaultColWidth="14.44140625" defaultRowHeight="15" customHeight="1" x14ac:dyDescent="0.3"/>
  <cols>
    <col min="1" max="1" width="4.109375" style="1" customWidth="1"/>
    <col min="2" max="2" width="20.88671875" style="1" customWidth="1"/>
    <col min="3" max="3" width="19.5546875" style="1" customWidth="1"/>
    <col min="4" max="4" width="12.88671875" style="1" customWidth="1"/>
    <col min="5" max="5" width="11.33203125" style="1" customWidth="1"/>
    <col min="6" max="6" width="12.33203125" style="1" customWidth="1"/>
    <col min="7" max="7" width="18.88671875" style="1" customWidth="1"/>
    <col min="8" max="8" width="10.6640625" style="1" customWidth="1"/>
    <col min="9" max="9" width="9.88671875" style="1" customWidth="1"/>
    <col min="10" max="10" width="17.88671875" style="1" customWidth="1"/>
    <col min="11" max="11" width="14.44140625" style="1" customWidth="1"/>
    <col min="12" max="12" width="7.44140625" style="1" customWidth="1"/>
    <col min="13" max="13" width="16.5546875" style="1" customWidth="1"/>
    <col min="14" max="14" width="14.44140625" style="1" customWidth="1"/>
    <col min="15" max="15" width="10.6640625" style="1" customWidth="1"/>
    <col min="16" max="16" width="7.44140625" style="1" customWidth="1"/>
    <col min="17" max="17" width="16.6640625" style="1" customWidth="1"/>
    <col min="18" max="18" width="5.88671875" style="1" customWidth="1"/>
    <col min="19" max="19" width="8" style="1" customWidth="1"/>
    <col min="20" max="20" width="0.88671875" style="1" customWidth="1"/>
    <col min="21" max="21" width="10.6640625" style="1" customWidth="1"/>
    <col min="22" max="22" width="8.44140625" style="1" customWidth="1"/>
    <col min="23" max="23" width="1.33203125" style="1" customWidth="1"/>
    <col min="24" max="24" width="4.5546875" style="1" customWidth="1"/>
    <col min="25" max="25" width="10.6640625" style="1" customWidth="1"/>
    <col min="26" max="26" width="18" style="1" bestFit="1" customWidth="1"/>
    <col min="27" max="27" width="4.44140625" style="1" customWidth="1"/>
    <col min="28" max="28" width="40.88671875" style="1" bestFit="1" customWidth="1"/>
    <col min="29" max="29" width="22.33203125" style="1" bestFit="1" customWidth="1"/>
    <col min="30" max="30" width="4.5546875" style="1" customWidth="1"/>
    <col min="31" max="31" width="1.109375" style="1" customWidth="1"/>
    <col min="32" max="32" width="4" style="1" customWidth="1"/>
    <col min="33" max="33" width="3.109375" style="1" bestFit="1" customWidth="1"/>
    <col min="34" max="34" width="8.33203125" style="1" bestFit="1" customWidth="1"/>
    <col min="35" max="35" width="13.88671875" style="1" bestFit="1" customWidth="1"/>
    <col min="36" max="36" width="12.5546875" style="1" bestFit="1" customWidth="1"/>
    <col min="37" max="37" width="4.6640625" style="1" customWidth="1"/>
    <col min="38" max="38" width="10" style="1" customWidth="1"/>
    <col min="39" max="39" width="12.109375" style="1" customWidth="1"/>
    <col min="40" max="40" width="25.44140625" style="1" customWidth="1"/>
    <col min="41" max="16384" width="14.44140625" style="1"/>
  </cols>
  <sheetData>
    <row r="1" spans="1:29" s="14" customFormat="1" ht="25.5" customHeight="1" x14ac:dyDescent="0.55000000000000004">
      <c r="A1" s="11"/>
      <c r="B1" s="86" t="s">
        <v>231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" x14ac:dyDescent="0.4">
      <c r="A4" s="21" t="s">
        <v>137</v>
      </c>
    </row>
    <row r="5" spans="1:29" s="23" customFormat="1" ht="15.6" x14ac:dyDescent="0.3">
      <c r="A5" s="22"/>
      <c r="B5" s="23" t="s">
        <v>87</v>
      </c>
    </row>
    <row r="6" spans="1:29" customFormat="1" ht="9" customHeight="1" x14ac:dyDescent="0.3"/>
    <row r="7" spans="1:29" customFormat="1" ht="14.4" x14ac:dyDescent="0.3">
      <c r="C7" s="24" t="s">
        <v>89</v>
      </c>
      <c r="D7" s="26"/>
      <c r="E7" s="26"/>
      <c r="F7" s="26"/>
      <c r="G7" s="26"/>
    </row>
    <row r="8" spans="1:29" customFormat="1" ht="14.4" x14ac:dyDescent="0.3">
      <c r="C8" s="25"/>
      <c r="D8" s="25"/>
      <c r="E8" s="25"/>
      <c r="F8" s="25"/>
      <c r="G8" s="25"/>
    </row>
    <row r="9" spans="1:29" customFormat="1" ht="14.4" x14ac:dyDescent="0.3">
      <c r="C9" s="48" t="s">
        <v>90</v>
      </c>
      <c r="D9" s="49" t="s">
        <v>91</v>
      </c>
      <c r="E9" s="49" t="s">
        <v>92</v>
      </c>
      <c r="F9" s="49" t="s">
        <v>93</v>
      </c>
      <c r="G9" s="49" t="s">
        <v>82</v>
      </c>
    </row>
    <row r="10" spans="1:29" customFormat="1" ht="14.4" x14ac:dyDescent="0.3">
      <c r="C10" s="50" t="s">
        <v>94</v>
      </c>
      <c r="D10" s="51">
        <v>3456</v>
      </c>
      <c r="E10" s="51">
        <v>2456</v>
      </c>
      <c r="F10" s="51">
        <v>1243</v>
      </c>
      <c r="G10" s="52">
        <f>SUM(D10:F10)</f>
        <v>7155</v>
      </c>
    </row>
    <row r="11" spans="1:29" customFormat="1" ht="14.4" x14ac:dyDescent="0.3">
      <c r="C11" s="50" t="s">
        <v>95</v>
      </c>
      <c r="D11" s="51">
        <v>2345</v>
      </c>
      <c r="E11" s="51">
        <v>2345</v>
      </c>
      <c r="F11" s="51">
        <v>2654</v>
      </c>
      <c r="G11" s="52">
        <f t="shared" ref="G11:G15" si="0">SUM(D11:F11)</f>
        <v>7344</v>
      </c>
    </row>
    <row r="12" spans="1:29" customFormat="1" ht="14.4" x14ac:dyDescent="0.3">
      <c r="C12" s="50" t="s">
        <v>96</v>
      </c>
      <c r="D12" s="51">
        <v>4456</v>
      </c>
      <c r="E12" s="51">
        <v>3452</v>
      </c>
      <c r="F12" s="51">
        <v>5643</v>
      </c>
      <c r="G12" s="52">
        <f t="shared" si="0"/>
        <v>13551</v>
      </c>
    </row>
    <row r="13" spans="1:29" customFormat="1" ht="14.4" x14ac:dyDescent="0.3">
      <c r="C13" s="50" t="s">
        <v>97</v>
      </c>
      <c r="D13" s="51">
        <v>345</v>
      </c>
      <c r="E13" s="51">
        <v>764</v>
      </c>
      <c r="F13" s="51">
        <v>1265</v>
      </c>
      <c r="G13" s="52">
        <f t="shared" si="0"/>
        <v>2374</v>
      </c>
    </row>
    <row r="14" spans="1:29" customFormat="1" ht="14.4" x14ac:dyDescent="0.3">
      <c r="C14" s="50" t="s">
        <v>98</v>
      </c>
      <c r="D14" s="51">
        <v>664</v>
      </c>
      <c r="E14" s="51">
        <v>790</v>
      </c>
      <c r="F14" s="51">
        <v>345</v>
      </c>
      <c r="G14" s="52">
        <f t="shared" si="0"/>
        <v>1799</v>
      </c>
    </row>
    <row r="15" spans="1:29" customFormat="1" ht="14.4" x14ac:dyDescent="0.3">
      <c r="C15" s="50" t="s">
        <v>99</v>
      </c>
      <c r="D15" s="51">
        <v>6598</v>
      </c>
      <c r="E15" s="51">
        <v>167</v>
      </c>
      <c r="F15" s="51">
        <v>234</v>
      </c>
      <c r="G15" s="52">
        <f t="shared" si="0"/>
        <v>6999</v>
      </c>
    </row>
    <row r="16" spans="1:29" customFormat="1" ht="14.4" x14ac:dyDescent="0.3">
      <c r="C16" s="53" t="s">
        <v>100</v>
      </c>
      <c r="D16" s="54">
        <f>SUM(D10:D15)</f>
        <v>17864</v>
      </c>
      <c r="E16" s="54">
        <f t="shared" ref="E16:G16" si="1">SUM(E10:E15)</f>
        <v>9974</v>
      </c>
      <c r="F16" s="54">
        <f t="shared" si="1"/>
        <v>11384</v>
      </c>
      <c r="G16" s="54">
        <f t="shared" si="1"/>
        <v>39222</v>
      </c>
    </row>
    <row r="17" spans="3:7" customFormat="1" ht="14.4" x14ac:dyDescent="0.3">
      <c r="C17" s="27"/>
      <c r="D17" s="28"/>
      <c r="E17" s="28"/>
      <c r="F17" s="28"/>
      <c r="G17" s="28"/>
    </row>
    <row r="18" spans="3:7" customFormat="1" ht="14.4" x14ac:dyDescent="0.3">
      <c r="C18" s="55" t="s">
        <v>101</v>
      </c>
      <c r="D18" s="49" t="s">
        <v>91</v>
      </c>
      <c r="E18" s="49" t="s">
        <v>92</v>
      </c>
      <c r="F18" s="49" t="s">
        <v>93</v>
      </c>
      <c r="G18" s="49" t="s">
        <v>82</v>
      </c>
    </row>
    <row r="19" spans="3:7" customFormat="1" ht="14.4" x14ac:dyDescent="0.3">
      <c r="C19" s="50" t="s">
        <v>102</v>
      </c>
      <c r="D19" s="51">
        <v>234</v>
      </c>
      <c r="E19" s="51">
        <v>987</v>
      </c>
      <c r="F19" s="51">
        <v>432</v>
      </c>
      <c r="G19" s="52">
        <f>SUM(D19:F19)</f>
        <v>1653</v>
      </c>
    </row>
    <row r="20" spans="3:7" customFormat="1" ht="14.4" x14ac:dyDescent="0.3">
      <c r="C20" s="50" t="s">
        <v>103</v>
      </c>
      <c r="D20" s="51">
        <v>387</v>
      </c>
      <c r="E20" s="51">
        <v>234</v>
      </c>
      <c r="F20" s="51">
        <v>543</v>
      </c>
      <c r="G20" s="52">
        <f t="shared" ref="G20:G25" si="2">SUM(D20:F20)</f>
        <v>1164</v>
      </c>
    </row>
    <row r="21" spans="3:7" customFormat="1" ht="14.4" x14ac:dyDescent="0.3">
      <c r="C21" s="50" t="s">
        <v>104</v>
      </c>
      <c r="D21" s="51">
        <v>654</v>
      </c>
      <c r="E21" s="51">
        <v>654</v>
      </c>
      <c r="F21" s="51">
        <v>765</v>
      </c>
      <c r="G21" s="52">
        <f t="shared" si="2"/>
        <v>2073</v>
      </c>
    </row>
    <row r="22" spans="3:7" customFormat="1" ht="14.4" x14ac:dyDescent="0.3">
      <c r="C22" s="50" t="s">
        <v>105</v>
      </c>
      <c r="D22" s="51">
        <v>976</v>
      </c>
      <c r="E22" s="51">
        <v>567</v>
      </c>
      <c r="F22" s="51">
        <v>235</v>
      </c>
      <c r="G22" s="52">
        <f t="shared" si="2"/>
        <v>1778</v>
      </c>
    </row>
    <row r="23" spans="3:7" customFormat="1" ht="14.4" x14ac:dyDescent="0.3">
      <c r="C23" s="50" t="s">
        <v>106</v>
      </c>
      <c r="D23" s="51">
        <v>612</v>
      </c>
      <c r="E23" s="51">
        <v>628</v>
      </c>
      <c r="F23" s="51">
        <v>834</v>
      </c>
      <c r="G23" s="52">
        <f t="shared" si="2"/>
        <v>2074</v>
      </c>
    </row>
    <row r="24" spans="3:7" customFormat="1" ht="14.4" x14ac:dyDescent="0.3">
      <c r="C24" s="50" t="s">
        <v>107</v>
      </c>
      <c r="D24" s="51">
        <v>567</v>
      </c>
      <c r="E24" s="51">
        <v>345</v>
      </c>
      <c r="F24" s="51">
        <v>543</v>
      </c>
      <c r="G24" s="52">
        <f t="shared" si="2"/>
        <v>1455</v>
      </c>
    </row>
    <row r="25" spans="3:7" customFormat="1" ht="14.4" x14ac:dyDescent="0.3">
      <c r="C25" s="50" t="s">
        <v>108</v>
      </c>
      <c r="D25" s="51">
        <v>456</v>
      </c>
      <c r="E25" s="51">
        <v>765</v>
      </c>
      <c r="F25" s="51">
        <v>123</v>
      </c>
      <c r="G25" s="52">
        <f t="shared" si="2"/>
        <v>1344</v>
      </c>
    </row>
    <row r="26" spans="3:7" customFormat="1" ht="14.4" x14ac:dyDescent="0.3">
      <c r="C26" s="53" t="s">
        <v>100</v>
      </c>
      <c r="D26" s="54">
        <f>SUM(D19:D25)</f>
        <v>3886</v>
      </c>
      <c r="E26" s="54">
        <f t="shared" ref="E26:G26" si="3">SUM(E19:E25)</f>
        <v>4180</v>
      </c>
      <c r="F26" s="54">
        <f t="shared" si="3"/>
        <v>3475</v>
      </c>
      <c r="G26" s="54">
        <f t="shared" si="3"/>
        <v>11541</v>
      </c>
    </row>
    <row r="27" spans="3:7" customFormat="1" ht="14.4" x14ac:dyDescent="0.3">
      <c r="C27" s="27"/>
      <c r="D27" s="28"/>
      <c r="E27" s="28"/>
      <c r="F27" s="28"/>
      <c r="G27" s="28"/>
    </row>
    <row r="28" spans="3:7" customFormat="1" ht="14.4" x14ac:dyDescent="0.3">
      <c r="C28" s="56" t="s">
        <v>109</v>
      </c>
      <c r="D28" s="49" t="s">
        <v>91</v>
      </c>
      <c r="E28" s="49" t="s">
        <v>92</v>
      </c>
      <c r="F28" s="49" t="s">
        <v>93</v>
      </c>
      <c r="G28" s="49" t="s">
        <v>82</v>
      </c>
    </row>
    <row r="29" spans="3:7" customFormat="1" ht="14.4" x14ac:dyDescent="0.3">
      <c r="C29" s="57" t="s">
        <v>110</v>
      </c>
      <c r="D29" s="51">
        <v>567</v>
      </c>
      <c r="E29" s="51">
        <v>654</v>
      </c>
      <c r="F29" s="51">
        <v>7765</v>
      </c>
      <c r="G29" s="52">
        <f>SUM(D29:F29)</f>
        <v>8986</v>
      </c>
    </row>
    <row r="30" spans="3:7" customFormat="1" ht="14.4" x14ac:dyDescent="0.3">
      <c r="C30" s="57" t="s">
        <v>111</v>
      </c>
      <c r="D30" s="51">
        <v>456</v>
      </c>
      <c r="E30" s="51">
        <v>765</v>
      </c>
      <c r="F30" s="51">
        <v>6543</v>
      </c>
      <c r="G30" s="52">
        <f t="shared" ref="G30:G35" si="4">SUM(D30:F30)</f>
        <v>7764</v>
      </c>
    </row>
    <row r="31" spans="3:7" customFormat="1" ht="14.4" x14ac:dyDescent="0.3">
      <c r="C31" s="57" t="s">
        <v>112</v>
      </c>
      <c r="D31" s="51">
        <v>789</v>
      </c>
      <c r="E31" s="51">
        <v>987</v>
      </c>
      <c r="F31" s="51">
        <v>543</v>
      </c>
      <c r="G31" s="52">
        <f t="shared" si="4"/>
        <v>2319</v>
      </c>
    </row>
    <row r="32" spans="3:7" customFormat="1" ht="14.4" x14ac:dyDescent="0.3">
      <c r="C32" s="57" t="s">
        <v>113</v>
      </c>
      <c r="D32" s="51">
        <v>123</v>
      </c>
      <c r="E32" s="51">
        <v>327</v>
      </c>
      <c r="F32" s="51">
        <v>765</v>
      </c>
      <c r="G32" s="52">
        <f t="shared" si="4"/>
        <v>1215</v>
      </c>
    </row>
    <row r="33" spans="1:7" customFormat="1" ht="14.4" x14ac:dyDescent="0.3">
      <c r="C33" s="57" t="s">
        <v>114</v>
      </c>
      <c r="D33" s="51">
        <v>654</v>
      </c>
      <c r="E33" s="51">
        <v>896</v>
      </c>
      <c r="F33" s="51">
        <v>345</v>
      </c>
      <c r="G33" s="52">
        <f t="shared" si="4"/>
        <v>1895</v>
      </c>
    </row>
    <row r="34" spans="1:7" customFormat="1" ht="14.4" x14ac:dyDescent="0.3">
      <c r="C34" s="57" t="s">
        <v>115</v>
      </c>
      <c r="D34" s="51">
        <v>234</v>
      </c>
      <c r="E34" s="51">
        <v>876</v>
      </c>
      <c r="F34" s="51">
        <v>1234</v>
      </c>
      <c r="G34" s="52">
        <f t="shared" si="4"/>
        <v>2344</v>
      </c>
    </row>
    <row r="35" spans="1:7" customFormat="1" ht="14.4" x14ac:dyDescent="0.3">
      <c r="C35" s="57" t="s">
        <v>116</v>
      </c>
      <c r="D35" s="51">
        <v>789</v>
      </c>
      <c r="E35" s="51">
        <v>987</v>
      </c>
      <c r="F35" s="51">
        <v>874</v>
      </c>
      <c r="G35" s="52">
        <f t="shared" si="4"/>
        <v>2650</v>
      </c>
    </row>
    <row r="36" spans="1:7" customFormat="1" ht="14.4" x14ac:dyDescent="0.3">
      <c r="C36" s="53" t="s">
        <v>100</v>
      </c>
      <c r="D36" s="54">
        <f>SUM(D29:D35)</f>
        <v>3612</v>
      </c>
      <c r="E36" s="54">
        <f t="shared" ref="E36:F36" si="5">SUM(E29:E35)</f>
        <v>5492</v>
      </c>
      <c r="F36" s="54">
        <f t="shared" si="5"/>
        <v>18069</v>
      </c>
      <c r="G36" s="54">
        <f>SUM(G29:G35)</f>
        <v>27173</v>
      </c>
    </row>
    <row r="37" spans="1:7" customFormat="1" ht="14.4" x14ac:dyDescent="0.3">
      <c r="C37" s="27"/>
      <c r="D37" s="25"/>
      <c r="E37" s="25"/>
      <c r="F37" s="25"/>
      <c r="G37" s="25"/>
    </row>
    <row r="38" spans="1:7" customFormat="1" ht="14.4" x14ac:dyDescent="0.3">
      <c r="C38" s="58" t="s">
        <v>117</v>
      </c>
      <c r="D38" s="59"/>
      <c r="E38" s="59"/>
      <c r="F38" s="59"/>
      <c r="G38" s="59">
        <f>SUM(G36,G26,G16)</f>
        <v>77936</v>
      </c>
    </row>
    <row r="39" spans="1:7" customFormat="1" ht="14.4" x14ac:dyDescent="0.3"/>
    <row r="40" spans="1:7" customFormat="1" ht="14.4" x14ac:dyDescent="0.3"/>
    <row r="41" spans="1:7" s="23" customFormat="1" ht="15.6" x14ac:dyDescent="0.3">
      <c r="A41" s="22"/>
      <c r="B41" s="23" t="s">
        <v>88</v>
      </c>
    </row>
    <row r="42" spans="1:7" customFormat="1" ht="14.4" x14ac:dyDescent="0.3"/>
    <row r="43" spans="1:7" customFormat="1" ht="14.4" x14ac:dyDescent="0.3">
      <c r="B43" s="24" t="s">
        <v>119</v>
      </c>
      <c r="C43" s="25"/>
      <c r="D43" s="25"/>
      <c r="E43" s="25"/>
    </row>
    <row r="44" spans="1:7" customFormat="1" ht="14.4" x14ac:dyDescent="0.3">
      <c r="B44" s="26"/>
      <c r="C44" s="25"/>
      <c r="D44" s="25"/>
      <c r="E44" s="25"/>
    </row>
    <row r="45" spans="1:7" customFormat="1" ht="14.4" x14ac:dyDescent="0.3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ht="14.4" x14ac:dyDescent="0.3">
      <c r="B46" s="26"/>
      <c r="C46" s="25"/>
      <c r="D46" s="25"/>
      <c r="E46" s="25"/>
    </row>
    <row r="47" spans="1:7" customFormat="1" ht="14.4" x14ac:dyDescent="0.3">
      <c r="B47" s="25"/>
      <c r="C47" s="80" t="s">
        <v>122</v>
      </c>
      <c r="D47" s="82" t="s">
        <v>123</v>
      </c>
      <c r="E47" s="84" t="s">
        <v>124</v>
      </c>
    </row>
    <row r="48" spans="1:7" customFormat="1" ht="14.4" x14ac:dyDescent="0.3">
      <c r="B48" s="27"/>
      <c r="C48" s="81"/>
      <c r="D48" s="83"/>
      <c r="E48" s="85"/>
    </row>
    <row r="49" spans="1:5" customFormat="1" ht="14.4" x14ac:dyDescent="0.3">
      <c r="B49" s="27"/>
      <c r="C49" s="31" t="s">
        <v>125</v>
      </c>
      <c r="D49" s="32">
        <v>650</v>
      </c>
      <c r="E49" s="33">
        <f>D49*$D$45</f>
        <v>2385.5</v>
      </c>
    </row>
    <row r="50" spans="1:5" customFormat="1" ht="14.4" x14ac:dyDescent="0.3">
      <c r="B50" s="27"/>
      <c r="C50" s="31" t="s">
        <v>126</v>
      </c>
      <c r="D50" s="32">
        <v>890</v>
      </c>
      <c r="E50" s="33">
        <f t="shared" ref="E50:E58" si="6">D50*$D$45</f>
        <v>3266.2999999999997</v>
      </c>
    </row>
    <row r="51" spans="1:5" customFormat="1" ht="14.4" x14ac:dyDescent="0.3">
      <c r="B51" s="27"/>
      <c r="C51" s="31" t="s">
        <v>127</v>
      </c>
      <c r="D51" s="32">
        <v>2500</v>
      </c>
      <c r="E51" s="33">
        <f t="shared" si="6"/>
        <v>9175</v>
      </c>
    </row>
    <row r="52" spans="1:5" customFormat="1" ht="14.4" x14ac:dyDescent="0.3">
      <c r="B52" s="27"/>
      <c r="C52" s="31" t="s">
        <v>128</v>
      </c>
      <c r="D52" s="32">
        <v>4650</v>
      </c>
      <c r="E52" s="33">
        <f t="shared" si="6"/>
        <v>17065.5</v>
      </c>
    </row>
    <row r="53" spans="1:5" customFormat="1" ht="14.4" x14ac:dyDescent="0.3">
      <c r="B53" s="27"/>
      <c r="C53" s="31" t="s">
        <v>129</v>
      </c>
      <c r="D53" s="32">
        <v>641</v>
      </c>
      <c r="E53" s="33">
        <f t="shared" si="6"/>
        <v>2352.4699999999998</v>
      </c>
    </row>
    <row r="54" spans="1:5" customFormat="1" ht="14.4" x14ac:dyDescent="0.3">
      <c r="B54" s="27"/>
      <c r="C54" s="31" t="s">
        <v>130</v>
      </c>
      <c r="D54" s="32">
        <v>1536</v>
      </c>
      <c r="E54" s="33">
        <f t="shared" si="6"/>
        <v>5637.12</v>
      </c>
    </row>
    <row r="55" spans="1:5" customFormat="1" ht="14.4" x14ac:dyDescent="0.3">
      <c r="B55" s="27"/>
      <c r="C55" s="31" t="s">
        <v>131</v>
      </c>
      <c r="D55" s="32">
        <v>3251</v>
      </c>
      <c r="E55" s="33">
        <f t="shared" si="6"/>
        <v>11931.17</v>
      </c>
    </row>
    <row r="56" spans="1:5" customFormat="1" ht="14.4" x14ac:dyDescent="0.3">
      <c r="B56" s="25"/>
      <c r="C56" s="31" t="s">
        <v>132</v>
      </c>
      <c r="D56" s="32">
        <v>9500</v>
      </c>
      <c r="E56" s="33">
        <f t="shared" si="6"/>
        <v>34865</v>
      </c>
    </row>
    <row r="57" spans="1:5" customFormat="1" ht="14.4" x14ac:dyDescent="0.3">
      <c r="B57" s="25"/>
      <c r="C57" s="31" t="s">
        <v>133</v>
      </c>
      <c r="D57" s="32">
        <v>566</v>
      </c>
      <c r="E57" s="33">
        <f t="shared" si="6"/>
        <v>2077.2199999999998</v>
      </c>
    </row>
    <row r="58" spans="1:5" customFormat="1" ht="14.4" x14ac:dyDescent="0.3">
      <c r="B58" s="25"/>
      <c r="C58" s="34" t="s">
        <v>134</v>
      </c>
      <c r="D58" s="35">
        <v>1455</v>
      </c>
      <c r="E58" s="33">
        <f t="shared" si="6"/>
        <v>5339.8499999999995</v>
      </c>
    </row>
    <row r="60" spans="1:5" s="23" customFormat="1" ht="15.6" x14ac:dyDescent="0.3">
      <c r="A60" s="22"/>
      <c r="B60" s="23" t="s">
        <v>118</v>
      </c>
    </row>
    <row r="66" spans="2:11" ht="6" customHeight="1" x14ac:dyDescent="0.3"/>
    <row r="67" spans="2:11" ht="15" customHeight="1" thickBot="1" x14ac:dyDescent="0.35">
      <c r="B67" s="40" t="s">
        <v>138</v>
      </c>
      <c r="C67" s="40" t="s">
        <v>139</v>
      </c>
      <c r="D67" s="40" t="s">
        <v>140</v>
      </c>
      <c r="E67" s="40" t="s">
        <v>141</v>
      </c>
      <c r="F67" s="41" t="s">
        <v>142</v>
      </c>
      <c r="G67" s="42" t="s">
        <v>143</v>
      </c>
      <c r="H67" s="43" t="s">
        <v>144</v>
      </c>
      <c r="I67"/>
      <c r="J67" s="36" t="s">
        <v>145</v>
      </c>
      <c r="K67" s="37"/>
    </row>
    <row r="68" spans="2:11" ht="16.2" thickBot="1" x14ac:dyDescent="0.35">
      <c r="B68" s="46" t="s">
        <v>146</v>
      </c>
      <c r="C68" s="60" t="s">
        <v>147</v>
      </c>
      <c r="D68" s="46" t="s">
        <v>148</v>
      </c>
      <c r="E68" s="44" t="s">
        <v>149</v>
      </c>
      <c r="F68" s="45">
        <v>1001</v>
      </c>
      <c r="G68" s="63" t="str">
        <f>IF(F68&lt;=1000,"Pedir",IF(F68&lt;2000,"Correcto",""))</f>
        <v>Correcto</v>
      </c>
      <c r="H68" s="104" t="str">
        <f t="shared" ref="H68:H112" si="7">IF(G68="Pedir",2000-F68,"")</f>
        <v/>
      </c>
      <c r="I68"/>
      <c r="J68" s="37"/>
      <c r="K68" s="61" t="s">
        <v>150</v>
      </c>
    </row>
    <row r="69" spans="2:11" thickBot="1" x14ac:dyDescent="0.35">
      <c r="B69" s="46" t="s">
        <v>151</v>
      </c>
      <c r="C69" s="46" t="s">
        <v>147</v>
      </c>
      <c r="D69" s="46" t="s">
        <v>148</v>
      </c>
      <c r="E69" s="44" t="s">
        <v>152</v>
      </c>
      <c r="F69" s="45">
        <v>1500</v>
      </c>
      <c r="G69" s="63" t="str">
        <f t="shared" ref="G69:G112" si="8">IF(F69&lt;=1000,"Pedir",IF(F69&lt;2000,"Correcto",""))</f>
        <v>Correcto</v>
      </c>
      <c r="H69" s="104" t="str">
        <f t="shared" si="7"/>
        <v/>
      </c>
      <c r="I69"/>
      <c r="J69" s="62" t="s">
        <v>153</v>
      </c>
      <c r="K69" s="62" t="s">
        <v>154</v>
      </c>
    </row>
    <row r="70" spans="2:11" thickBot="1" x14ac:dyDescent="0.35">
      <c r="B70" s="46" t="s">
        <v>155</v>
      </c>
      <c r="C70" s="46" t="s">
        <v>147</v>
      </c>
      <c r="D70" s="46" t="s">
        <v>156</v>
      </c>
      <c r="E70" s="44" t="s">
        <v>157</v>
      </c>
      <c r="F70" s="45">
        <v>990</v>
      </c>
      <c r="G70" s="63" t="str">
        <f t="shared" si="8"/>
        <v>Pedir</v>
      </c>
      <c r="H70" s="104">
        <f>IF(G70="Pedir",2000-F70,"")</f>
        <v>1010</v>
      </c>
      <c r="I70"/>
      <c r="J70" s="62" t="s">
        <v>158</v>
      </c>
      <c r="K70" s="62" t="s">
        <v>159</v>
      </c>
    </row>
    <row r="71" spans="2:11" ht="14.4" x14ac:dyDescent="0.3">
      <c r="B71" s="46" t="s">
        <v>160</v>
      </c>
      <c r="C71" s="46" t="s">
        <v>161</v>
      </c>
      <c r="D71" s="46" t="s">
        <v>156</v>
      </c>
      <c r="E71" s="44" t="s">
        <v>162</v>
      </c>
      <c r="F71" s="45">
        <v>1152.6666666666699</v>
      </c>
      <c r="G71" s="63" t="str">
        <f t="shared" si="8"/>
        <v>Correcto</v>
      </c>
      <c r="H71" s="104" t="str">
        <f t="shared" si="7"/>
        <v/>
      </c>
      <c r="I71"/>
      <c r="J71" s="25"/>
      <c r="K71" s="25"/>
    </row>
    <row r="72" spans="2:11" ht="21.6" x14ac:dyDescent="0.3">
      <c r="B72" s="46" t="s">
        <v>163</v>
      </c>
      <c r="C72" s="46" t="s">
        <v>161</v>
      </c>
      <c r="D72" s="46" t="s">
        <v>156</v>
      </c>
      <c r="E72" s="44" t="s">
        <v>152</v>
      </c>
      <c r="F72" s="45">
        <v>1147.1666666666699</v>
      </c>
      <c r="G72" s="63" t="str">
        <f t="shared" si="8"/>
        <v>Correcto</v>
      </c>
      <c r="H72" s="104" t="str">
        <f t="shared" si="7"/>
        <v/>
      </c>
      <c r="I72"/>
      <c r="J72" s="25"/>
      <c r="K72" s="25"/>
    </row>
    <row r="73" spans="2:11" ht="21.6" x14ac:dyDescent="0.3">
      <c r="B73" s="46" t="s">
        <v>164</v>
      </c>
      <c r="C73" s="46" t="s">
        <v>165</v>
      </c>
      <c r="D73" s="46" t="s">
        <v>156</v>
      </c>
      <c r="E73" s="44" t="s">
        <v>157</v>
      </c>
      <c r="F73" s="45">
        <v>3000</v>
      </c>
      <c r="G73" s="63" t="str">
        <f t="shared" si="8"/>
        <v/>
      </c>
      <c r="H73" s="104" t="str">
        <f t="shared" si="7"/>
        <v/>
      </c>
      <c r="I73"/>
      <c r="J73" s="25"/>
      <c r="K73"/>
    </row>
    <row r="74" spans="2:11" ht="21.6" x14ac:dyDescent="0.3">
      <c r="B74" s="46" t="s">
        <v>166</v>
      </c>
      <c r="C74" s="46" t="s">
        <v>165</v>
      </c>
      <c r="D74" s="46" t="s">
        <v>167</v>
      </c>
      <c r="E74" s="44" t="s">
        <v>168</v>
      </c>
      <c r="F74" s="45">
        <v>550</v>
      </c>
      <c r="G74" s="63" t="str">
        <f t="shared" si="8"/>
        <v>Pedir</v>
      </c>
      <c r="H74" s="104">
        <f t="shared" si="7"/>
        <v>1450</v>
      </c>
      <c r="I74"/>
      <c r="J74" s="25"/>
      <c r="K74"/>
    </row>
    <row r="75" spans="2:11" ht="21.6" x14ac:dyDescent="0.3">
      <c r="B75" s="46" t="s">
        <v>169</v>
      </c>
      <c r="C75" s="46" t="s">
        <v>165</v>
      </c>
      <c r="D75" s="46" t="s">
        <v>156</v>
      </c>
      <c r="E75" s="44" t="s">
        <v>170</v>
      </c>
      <c r="F75" s="45">
        <v>420</v>
      </c>
      <c r="G75" s="63" t="str">
        <f t="shared" si="8"/>
        <v>Pedir</v>
      </c>
      <c r="H75" s="104">
        <f t="shared" si="7"/>
        <v>1580</v>
      </c>
      <c r="I75"/>
      <c r="J75" s="25"/>
      <c r="K75"/>
    </row>
    <row r="76" spans="2:11" ht="14.4" x14ac:dyDescent="0.3">
      <c r="B76" s="46" t="s">
        <v>171</v>
      </c>
      <c r="C76" s="46" t="s">
        <v>172</v>
      </c>
      <c r="D76" s="46" t="s">
        <v>109</v>
      </c>
      <c r="E76" s="44" t="s">
        <v>168</v>
      </c>
      <c r="F76" s="45">
        <v>1125.1666666666699</v>
      </c>
      <c r="G76" s="63" t="str">
        <f t="shared" si="8"/>
        <v>Correcto</v>
      </c>
      <c r="H76" s="104" t="str">
        <f t="shared" si="7"/>
        <v/>
      </c>
      <c r="I76"/>
      <c r="J76" s="25"/>
      <c r="K76"/>
    </row>
    <row r="77" spans="2:11" ht="14.4" x14ac:dyDescent="0.3">
      <c r="B77" s="46" t="s">
        <v>173</v>
      </c>
      <c r="C77" s="46" t="s">
        <v>172</v>
      </c>
      <c r="D77" s="46" t="s">
        <v>174</v>
      </c>
      <c r="E77" s="44" t="s">
        <v>152</v>
      </c>
      <c r="F77" s="45">
        <v>1119.6666666666699</v>
      </c>
      <c r="G77" s="63" t="str">
        <f t="shared" si="8"/>
        <v>Correcto</v>
      </c>
      <c r="H77" s="104" t="str">
        <f t="shared" si="7"/>
        <v/>
      </c>
      <c r="I77"/>
      <c r="J77" s="25"/>
      <c r="K77"/>
    </row>
    <row r="78" spans="2:11" ht="21.6" x14ac:dyDescent="0.3">
      <c r="B78" s="46" t="s">
        <v>175</v>
      </c>
      <c r="C78" s="46" t="s">
        <v>176</v>
      </c>
      <c r="D78" s="46" t="s">
        <v>177</v>
      </c>
      <c r="E78" s="44" t="s">
        <v>162</v>
      </c>
      <c r="F78" s="45">
        <v>1114.1666666666699</v>
      </c>
      <c r="G78" s="63" t="str">
        <f t="shared" si="8"/>
        <v>Correcto</v>
      </c>
      <c r="H78" s="104" t="str">
        <f t="shared" si="7"/>
        <v/>
      </c>
      <c r="I78"/>
      <c r="J78" s="25"/>
      <c r="K78"/>
    </row>
    <row r="79" spans="2:11" ht="21.6" x14ac:dyDescent="0.3">
      <c r="B79" s="46" t="s">
        <v>178</v>
      </c>
      <c r="C79" s="46" t="s">
        <v>176</v>
      </c>
      <c r="D79" s="46" t="s">
        <v>177</v>
      </c>
      <c r="E79" s="44" t="s">
        <v>168</v>
      </c>
      <c r="F79" s="45">
        <v>530</v>
      </c>
      <c r="G79" s="63" t="str">
        <f t="shared" si="8"/>
        <v>Pedir</v>
      </c>
      <c r="H79" s="104">
        <f t="shared" si="7"/>
        <v>1470</v>
      </c>
      <c r="I79"/>
      <c r="J79"/>
      <c r="K79"/>
    </row>
    <row r="80" spans="2:11" ht="15.6" x14ac:dyDescent="0.3">
      <c r="B80" s="46" t="s">
        <v>179</v>
      </c>
      <c r="C80" s="46" t="s">
        <v>180</v>
      </c>
      <c r="D80" s="46" t="s">
        <v>174</v>
      </c>
      <c r="E80" s="44" t="s">
        <v>149</v>
      </c>
      <c r="F80" s="45">
        <v>1103.1666666666699</v>
      </c>
      <c r="G80" s="63" t="str">
        <f t="shared" si="8"/>
        <v>Correcto</v>
      </c>
      <c r="H80" s="104" t="str">
        <f t="shared" si="7"/>
        <v/>
      </c>
      <c r="I80"/>
      <c r="J80" s="37"/>
      <c r="K80" s="37"/>
    </row>
    <row r="81" spans="2:11" ht="15.6" x14ac:dyDescent="0.3">
      <c r="B81" s="46" t="s">
        <v>181</v>
      </c>
      <c r="C81" s="46" t="s">
        <v>180</v>
      </c>
      <c r="D81" s="46" t="s">
        <v>167</v>
      </c>
      <c r="E81" s="44" t="s">
        <v>182</v>
      </c>
      <c r="F81" s="45">
        <v>1097.6666666666699</v>
      </c>
      <c r="G81" s="63" t="str">
        <f t="shared" si="8"/>
        <v>Correcto</v>
      </c>
      <c r="H81" s="104" t="str">
        <f t="shared" si="7"/>
        <v/>
      </c>
      <c r="I81"/>
      <c r="J81" s="37"/>
      <c r="K81" s="37"/>
    </row>
    <row r="82" spans="2:11" ht="15.6" x14ac:dyDescent="0.3">
      <c r="B82" s="46" t="s">
        <v>183</v>
      </c>
      <c r="C82" s="46" t="s">
        <v>180</v>
      </c>
      <c r="D82" s="46" t="s">
        <v>156</v>
      </c>
      <c r="E82" s="44" t="s">
        <v>157</v>
      </c>
      <c r="F82" s="45">
        <v>740</v>
      </c>
      <c r="G82" s="63" t="str">
        <f t="shared" si="8"/>
        <v>Pedir</v>
      </c>
      <c r="H82" s="104">
        <f t="shared" si="7"/>
        <v>1260</v>
      </c>
      <c r="I82"/>
      <c r="J82" s="37"/>
      <c r="K82" s="37"/>
    </row>
    <row r="83" spans="2:11" ht="15.6" x14ac:dyDescent="0.3">
      <c r="B83" s="46" t="s">
        <v>184</v>
      </c>
      <c r="C83" s="46" t="s">
        <v>185</v>
      </c>
      <c r="D83" s="46" t="s">
        <v>186</v>
      </c>
      <c r="E83" s="44" t="s">
        <v>162</v>
      </c>
      <c r="F83" s="45">
        <v>1086.6666666666699</v>
      </c>
      <c r="G83" s="63" t="str">
        <f t="shared" si="8"/>
        <v>Correcto</v>
      </c>
      <c r="H83" s="104" t="str">
        <f t="shared" si="7"/>
        <v/>
      </c>
      <c r="I83"/>
      <c r="J83" s="37"/>
      <c r="K83" s="37"/>
    </row>
    <row r="84" spans="2:11" ht="15.6" x14ac:dyDescent="0.3">
      <c r="B84" s="46" t="s">
        <v>187</v>
      </c>
      <c r="C84" s="46" t="s">
        <v>185</v>
      </c>
      <c r="D84" s="46" t="s">
        <v>109</v>
      </c>
      <c r="E84" s="44" t="s">
        <v>168</v>
      </c>
      <c r="F84" s="45">
        <v>860</v>
      </c>
      <c r="G84" s="63" t="str">
        <f t="shared" si="8"/>
        <v>Pedir</v>
      </c>
      <c r="H84" s="104">
        <f t="shared" si="7"/>
        <v>1140</v>
      </c>
      <c r="I84"/>
      <c r="J84" s="37"/>
      <c r="K84" s="37"/>
    </row>
    <row r="85" spans="2:11" ht="15.6" x14ac:dyDescent="0.3">
      <c r="B85" s="46" t="s">
        <v>188</v>
      </c>
      <c r="C85" s="46" t="s">
        <v>185</v>
      </c>
      <c r="D85" s="46" t="s">
        <v>174</v>
      </c>
      <c r="E85" s="44" t="s">
        <v>168</v>
      </c>
      <c r="F85" s="45">
        <v>1075.6666666666699</v>
      </c>
      <c r="G85" s="63" t="str">
        <f t="shared" si="8"/>
        <v>Correcto</v>
      </c>
      <c r="H85" s="104" t="str">
        <f t="shared" si="7"/>
        <v/>
      </c>
      <c r="I85"/>
      <c r="J85" s="37"/>
      <c r="K85" s="37"/>
    </row>
    <row r="86" spans="2:11" ht="15.6" x14ac:dyDescent="0.3">
      <c r="B86" s="46" t="s">
        <v>189</v>
      </c>
      <c r="C86" s="46" t="s">
        <v>190</v>
      </c>
      <c r="D86" s="46" t="s">
        <v>186</v>
      </c>
      <c r="E86" s="44" t="s">
        <v>182</v>
      </c>
      <c r="F86" s="45">
        <v>1070.1666666666699</v>
      </c>
      <c r="G86" s="63" t="str">
        <f t="shared" si="8"/>
        <v>Correcto</v>
      </c>
      <c r="H86" s="104" t="str">
        <f t="shared" si="7"/>
        <v/>
      </c>
      <c r="I86"/>
      <c r="J86" s="37"/>
      <c r="K86" s="37"/>
    </row>
    <row r="87" spans="2:11" ht="15.6" x14ac:dyDescent="0.3">
      <c r="B87" s="46" t="s">
        <v>191</v>
      </c>
      <c r="C87" s="46" t="s">
        <v>190</v>
      </c>
      <c r="D87" s="46" t="s">
        <v>186</v>
      </c>
      <c r="E87" s="44" t="s">
        <v>149</v>
      </c>
      <c r="F87" s="45">
        <v>2340</v>
      </c>
      <c r="G87" s="63" t="str">
        <f t="shared" si="8"/>
        <v/>
      </c>
      <c r="H87" s="104" t="str">
        <f t="shared" si="7"/>
        <v/>
      </c>
      <c r="I87"/>
      <c r="J87" s="37"/>
      <c r="K87" s="37"/>
    </row>
    <row r="88" spans="2:11" ht="15.6" x14ac:dyDescent="0.3">
      <c r="B88" s="46" t="s">
        <v>192</v>
      </c>
      <c r="C88" s="46" t="s">
        <v>190</v>
      </c>
      <c r="D88" s="46" t="s">
        <v>186</v>
      </c>
      <c r="E88" s="44" t="s">
        <v>170</v>
      </c>
      <c r="F88" s="45">
        <v>3440</v>
      </c>
      <c r="G88" s="63" t="str">
        <f t="shared" si="8"/>
        <v/>
      </c>
      <c r="H88" s="104" t="str">
        <f t="shared" si="7"/>
        <v/>
      </c>
      <c r="I88"/>
      <c r="J88" s="37"/>
      <c r="K88" s="37"/>
    </row>
    <row r="89" spans="2:11" ht="21.6" x14ac:dyDescent="0.3">
      <c r="B89" s="46" t="s">
        <v>193</v>
      </c>
      <c r="C89" s="46" t="s">
        <v>194</v>
      </c>
      <c r="D89" s="46" t="s">
        <v>195</v>
      </c>
      <c r="E89" s="44" t="s">
        <v>152</v>
      </c>
      <c r="F89" s="45">
        <v>1650</v>
      </c>
      <c r="G89" s="63" t="str">
        <f t="shared" si="8"/>
        <v>Correcto</v>
      </c>
      <c r="H89" s="104" t="str">
        <f t="shared" si="7"/>
        <v/>
      </c>
      <c r="I89"/>
      <c r="J89" s="37"/>
      <c r="K89" s="37"/>
    </row>
    <row r="90" spans="2:11" ht="15.6" x14ac:dyDescent="0.3">
      <c r="B90" s="46" t="s">
        <v>196</v>
      </c>
      <c r="C90" s="46" t="s">
        <v>194</v>
      </c>
      <c r="D90" s="46" t="s">
        <v>195</v>
      </c>
      <c r="E90" s="44" t="s">
        <v>168</v>
      </c>
      <c r="F90" s="45">
        <v>690</v>
      </c>
      <c r="G90" s="63" t="str">
        <f t="shared" si="8"/>
        <v>Pedir</v>
      </c>
      <c r="H90" s="104">
        <f t="shared" si="7"/>
        <v>1310</v>
      </c>
      <c r="I90"/>
      <c r="J90" s="37"/>
      <c r="K90" s="37"/>
    </row>
    <row r="91" spans="2:11" ht="15.6" x14ac:dyDescent="0.3">
      <c r="B91" s="46" t="s">
        <v>197</v>
      </c>
      <c r="C91" s="46" t="s">
        <v>198</v>
      </c>
      <c r="D91" s="46" t="s">
        <v>148</v>
      </c>
      <c r="E91" s="44" t="s">
        <v>170</v>
      </c>
      <c r="F91" s="45">
        <v>780</v>
      </c>
      <c r="G91" s="63" t="str">
        <f t="shared" si="8"/>
        <v>Pedir</v>
      </c>
      <c r="H91" s="104">
        <f t="shared" si="7"/>
        <v>1220</v>
      </c>
      <c r="I91"/>
      <c r="J91" s="37"/>
      <c r="K91" s="37"/>
    </row>
    <row r="92" spans="2:11" ht="21.6" x14ac:dyDescent="0.3">
      <c r="B92" s="46" t="s">
        <v>199</v>
      </c>
      <c r="C92" s="46" t="s">
        <v>200</v>
      </c>
      <c r="D92" s="46" t="s">
        <v>186</v>
      </c>
      <c r="E92" s="44" t="s">
        <v>152</v>
      </c>
      <c r="F92" s="45">
        <v>340</v>
      </c>
      <c r="G92" s="63" t="str">
        <f t="shared" si="8"/>
        <v>Pedir</v>
      </c>
      <c r="H92" s="104">
        <f t="shared" si="7"/>
        <v>1660</v>
      </c>
      <c r="I92"/>
      <c r="J92" s="37"/>
      <c r="K92" s="37"/>
    </row>
    <row r="93" spans="2:11" ht="21.6" x14ac:dyDescent="0.3">
      <c r="B93" s="46" t="s">
        <v>201</v>
      </c>
      <c r="C93" s="46" t="s">
        <v>200</v>
      </c>
      <c r="D93" s="46" t="s">
        <v>186</v>
      </c>
      <c r="E93" s="44" t="s">
        <v>182</v>
      </c>
      <c r="F93" s="45">
        <v>1540</v>
      </c>
      <c r="G93" s="63" t="str">
        <f t="shared" si="8"/>
        <v>Correcto</v>
      </c>
      <c r="H93" s="104" t="str">
        <f t="shared" si="7"/>
        <v/>
      </c>
      <c r="I93"/>
      <c r="J93" s="37"/>
      <c r="K93" s="37"/>
    </row>
    <row r="94" spans="2:11" ht="21.6" x14ac:dyDescent="0.3">
      <c r="B94" s="46" t="s">
        <v>202</v>
      </c>
      <c r="C94" s="46" t="s">
        <v>200</v>
      </c>
      <c r="D94" s="46" t="s">
        <v>186</v>
      </c>
      <c r="E94" s="44" t="s">
        <v>152</v>
      </c>
      <c r="F94" s="45">
        <v>2650</v>
      </c>
      <c r="G94" s="63" t="str">
        <f t="shared" si="8"/>
        <v/>
      </c>
      <c r="H94" s="104" t="str">
        <f t="shared" si="7"/>
        <v/>
      </c>
      <c r="I94"/>
      <c r="J94" s="37"/>
      <c r="K94" s="37"/>
    </row>
    <row r="95" spans="2:11" ht="31.8" x14ac:dyDescent="0.3">
      <c r="B95" s="46" t="s">
        <v>203</v>
      </c>
      <c r="C95" s="46" t="s">
        <v>204</v>
      </c>
      <c r="D95" s="46" t="s">
        <v>167</v>
      </c>
      <c r="E95" s="44" t="s">
        <v>168</v>
      </c>
      <c r="F95" s="45">
        <v>780</v>
      </c>
      <c r="G95" s="63" t="str">
        <f t="shared" si="8"/>
        <v>Pedir</v>
      </c>
      <c r="H95" s="104">
        <f t="shared" si="7"/>
        <v>1220</v>
      </c>
      <c r="I95"/>
      <c r="J95" s="37"/>
      <c r="K95" s="37"/>
    </row>
    <row r="96" spans="2:11" ht="31.8" x14ac:dyDescent="0.3">
      <c r="B96" s="46" t="s">
        <v>205</v>
      </c>
      <c r="C96" s="46" t="s">
        <v>204</v>
      </c>
      <c r="D96" s="46" t="s">
        <v>109</v>
      </c>
      <c r="E96" s="44" t="s">
        <v>182</v>
      </c>
      <c r="F96" s="45">
        <v>1015.16666666667</v>
      </c>
      <c r="G96" s="63" t="str">
        <f t="shared" si="8"/>
        <v>Correcto</v>
      </c>
      <c r="H96" s="104" t="str">
        <f t="shared" si="7"/>
        <v/>
      </c>
      <c r="I96"/>
      <c r="J96" s="37"/>
      <c r="K96" s="37"/>
    </row>
    <row r="97" spans="2:11" ht="21.6" x14ac:dyDescent="0.3">
      <c r="B97" s="46" t="s">
        <v>206</v>
      </c>
      <c r="C97" s="46" t="s">
        <v>207</v>
      </c>
      <c r="D97" s="46" t="s">
        <v>174</v>
      </c>
      <c r="E97" s="44" t="s">
        <v>149</v>
      </c>
      <c r="F97" s="45">
        <v>1009.66666666667</v>
      </c>
      <c r="G97" s="63" t="str">
        <f t="shared" si="8"/>
        <v>Correcto</v>
      </c>
      <c r="H97" s="104" t="str">
        <f t="shared" si="7"/>
        <v/>
      </c>
      <c r="I97"/>
      <c r="J97" s="37"/>
      <c r="K97" s="37"/>
    </row>
    <row r="98" spans="2:11" ht="15.6" x14ac:dyDescent="0.3">
      <c r="B98" s="46" t="s">
        <v>208</v>
      </c>
      <c r="C98" s="46" t="s">
        <v>209</v>
      </c>
      <c r="D98" s="46" t="s">
        <v>177</v>
      </c>
      <c r="E98" s="44" t="s">
        <v>168</v>
      </c>
      <c r="F98" s="45">
        <v>1004.16666666667</v>
      </c>
      <c r="G98" s="63" t="str">
        <f t="shared" si="8"/>
        <v>Correcto</v>
      </c>
      <c r="H98" s="104" t="str">
        <f t="shared" si="7"/>
        <v/>
      </c>
      <c r="I98"/>
      <c r="J98" s="37"/>
      <c r="K98" s="37"/>
    </row>
    <row r="99" spans="2:11" ht="15.6" x14ac:dyDescent="0.3">
      <c r="B99" s="46" t="s">
        <v>210</v>
      </c>
      <c r="C99" s="46" t="s">
        <v>209</v>
      </c>
      <c r="D99" s="46" t="s">
        <v>177</v>
      </c>
      <c r="E99" s="44" t="s">
        <v>149</v>
      </c>
      <c r="F99" s="45">
        <v>998.66666666666799</v>
      </c>
      <c r="G99" s="63" t="str">
        <f t="shared" si="8"/>
        <v>Pedir</v>
      </c>
      <c r="H99" s="104">
        <f t="shared" si="7"/>
        <v>1001.333333333332</v>
      </c>
      <c r="I99"/>
      <c r="J99" s="37"/>
      <c r="K99" s="37"/>
    </row>
    <row r="100" spans="2:11" ht="15.6" x14ac:dyDescent="0.3">
      <c r="B100" s="46" t="s">
        <v>211</v>
      </c>
      <c r="C100" s="46" t="s">
        <v>212</v>
      </c>
      <c r="D100" s="46" t="s">
        <v>177</v>
      </c>
      <c r="E100" s="44" t="s">
        <v>152</v>
      </c>
      <c r="F100" s="45">
        <v>1300</v>
      </c>
      <c r="G100" s="63" t="str">
        <f t="shared" si="8"/>
        <v>Correcto</v>
      </c>
      <c r="H100" s="104" t="str">
        <f t="shared" si="7"/>
        <v/>
      </c>
      <c r="I100"/>
      <c r="J100" s="37"/>
      <c r="K100" s="37"/>
    </row>
    <row r="101" spans="2:11" ht="15.6" x14ac:dyDescent="0.3">
      <c r="B101" s="46" t="s">
        <v>213</v>
      </c>
      <c r="C101" s="46" t="s">
        <v>214</v>
      </c>
      <c r="D101" s="46" t="s">
        <v>148</v>
      </c>
      <c r="E101" s="44" t="s">
        <v>152</v>
      </c>
      <c r="F101" s="45">
        <v>1210</v>
      </c>
      <c r="G101" s="63" t="str">
        <f t="shared" si="8"/>
        <v>Correcto</v>
      </c>
      <c r="H101" s="104" t="str">
        <f t="shared" si="7"/>
        <v/>
      </c>
      <c r="I101"/>
      <c r="J101" s="37"/>
      <c r="K101" s="37"/>
    </row>
    <row r="102" spans="2:11" ht="15.6" x14ac:dyDescent="0.3">
      <c r="B102" s="46" t="s">
        <v>215</v>
      </c>
      <c r="C102" s="46" t="s">
        <v>214</v>
      </c>
      <c r="D102" s="46" t="s">
        <v>148</v>
      </c>
      <c r="E102" s="44" t="s">
        <v>152</v>
      </c>
      <c r="F102" s="45">
        <v>982.16666666666799</v>
      </c>
      <c r="G102" s="63" t="str">
        <f t="shared" si="8"/>
        <v>Pedir</v>
      </c>
      <c r="H102" s="104">
        <f t="shared" si="7"/>
        <v>1017.833333333332</v>
      </c>
      <c r="I102"/>
      <c r="J102" s="37"/>
      <c r="K102" s="37"/>
    </row>
    <row r="103" spans="2:11" ht="15.6" x14ac:dyDescent="0.3">
      <c r="B103" s="46" t="s">
        <v>216</v>
      </c>
      <c r="C103" s="46" t="s">
        <v>217</v>
      </c>
      <c r="D103" s="46" t="s">
        <v>174</v>
      </c>
      <c r="E103" s="44" t="s">
        <v>168</v>
      </c>
      <c r="F103" s="45">
        <v>1500</v>
      </c>
      <c r="G103" s="63" t="str">
        <f t="shared" si="8"/>
        <v>Correcto</v>
      </c>
      <c r="H103" s="104" t="str">
        <f t="shared" si="7"/>
        <v/>
      </c>
      <c r="I103"/>
      <c r="J103" s="37"/>
      <c r="K103" s="37"/>
    </row>
    <row r="104" spans="2:11" ht="15.6" x14ac:dyDescent="0.3">
      <c r="B104" s="46" t="s">
        <v>218</v>
      </c>
      <c r="C104" s="46" t="s">
        <v>217</v>
      </c>
      <c r="D104" s="46" t="s">
        <v>174</v>
      </c>
      <c r="E104" s="44" t="s">
        <v>152</v>
      </c>
      <c r="F104" s="45">
        <v>1650</v>
      </c>
      <c r="G104" s="63" t="str">
        <f t="shared" si="8"/>
        <v>Correcto</v>
      </c>
      <c r="H104" s="104" t="str">
        <f t="shared" si="7"/>
        <v/>
      </c>
      <c r="I104"/>
      <c r="J104" s="37"/>
      <c r="K104" s="37"/>
    </row>
    <row r="105" spans="2:11" ht="15.6" x14ac:dyDescent="0.3">
      <c r="B105" s="46" t="s">
        <v>219</v>
      </c>
      <c r="C105" s="46" t="s">
        <v>220</v>
      </c>
      <c r="D105" s="46" t="s">
        <v>148</v>
      </c>
      <c r="E105" s="44" t="s">
        <v>149</v>
      </c>
      <c r="F105" s="45">
        <v>1050</v>
      </c>
      <c r="G105" s="63" t="str">
        <f t="shared" si="8"/>
        <v>Correcto</v>
      </c>
      <c r="H105" s="104" t="str">
        <f t="shared" si="7"/>
        <v/>
      </c>
      <c r="I105"/>
      <c r="J105" s="37"/>
      <c r="K105" s="37"/>
    </row>
    <row r="106" spans="2:11" ht="15.6" x14ac:dyDescent="0.3">
      <c r="B106" s="46" t="s">
        <v>221</v>
      </c>
      <c r="C106" s="46" t="s">
        <v>220</v>
      </c>
      <c r="D106" s="46" t="s">
        <v>148</v>
      </c>
      <c r="E106" s="44" t="s">
        <v>170</v>
      </c>
      <c r="F106" s="45">
        <v>960</v>
      </c>
      <c r="G106" s="63" t="str">
        <f t="shared" si="8"/>
        <v>Pedir</v>
      </c>
      <c r="H106" s="104">
        <f t="shared" si="7"/>
        <v>1040</v>
      </c>
      <c r="I106"/>
      <c r="J106" s="37"/>
      <c r="K106" s="37"/>
    </row>
    <row r="107" spans="2:11" ht="21.6" x14ac:dyDescent="0.3">
      <c r="B107" s="46" t="s">
        <v>222</v>
      </c>
      <c r="C107" s="46" t="s">
        <v>223</v>
      </c>
      <c r="D107" s="46" t="s">
        <v>174</v>
      </c>
      <c r="E107" s="44" t="s">
        <v>182</v>
      </c>
      <c r="F107" s="45">
        <v>2050</v>
      </c>
      <c r="G107" s="63" t="str">
        <f t="shared" si="8"/>
        <v/>
      </c>
      <c r="H107" s="104" t="str">
        <f t="shared" si="7"/>
        <v/>
      </c>
      <c r="I107"/>
      <c r="J107" s="37"/>
      <c r="K107" s="37"/>
    </row>
    <row r="108" spans="2:11" ht="21.6" x14ac:dyDescent="0.3">
      <c r="B108" s="46" t="s">
        <v>224</v>
      </c>
      <c r="C108" s="46" t="s">
        <v>223</v>
      </c>
      <c r="D108" s="46" t="s">
        <v>174</v>
      </c>
      <c r="E108" s="44" t="s">
        <v>162</v>
      </c>
      <c r="F108" s="45">
        <v>1456</v>
      </c>
      <c r="G108" s="63" t="str">
        <f t="shared" si="8"/>
        <v>Correcto</v>
      </c>
      <c r="H108" s="104" t="str">
        <f t="shared" si="7"/>
        <v/>
      </c>
      <c r="I108"/>
      <c r="J108" s="37"/>
      <c r="K108" s="37"/>
    </row>
    <row r="109" spans="2:11" ht="15.6" x14ac:dyDescent="0.3">
      <c r="B109" s="46" t="s">
        <v>225</v>
      </c>
      <c r="C109" s="46" t="s">
        <v>226</v>
      </c>
      <c r="D109" s="46" t="s">
        <v>195</v>
      </c>
      <c r="E109" s="44" t="s">
        <v>162</v>
      </c>
      <c r="F109" s="45">
        <v>2345</v>
      </c>
      <c r="G109" s="63" t="str">
        <f t="shared" si="8"/>
        <v/>
      </c>
      <c r="H109" s="104" t="str">
        <f t="shared" si="7"/>
        <v/>
      </c>
      <c r="I109"/>
      <c r="J109" s="37"/>
      <c r="K109" s="37"/>
    </row>
    <row r="110" spans="2:11" ht="15.6" x14ac:dyDescent="0.3">
      <c r="B110" s="46" t="s">
        <v>227</v>
      </c>
      <c r="C110" s="46" t="s">
        <v>226</v>
      </c>
      <c r="D110" s="46" t="s">
        <v>148</v>
      </c>
      <c r="E110" s="44" t="s">
        <v>149</v>
      </c>
      <c r="F110" s="45">
        <v>354</v>
      </c>
      <c r="G110" s="63" t="str">
        <f t="shared" si="8"/>
        <v>Pedir</v>
      </c>
      <c r="H110" s="104">
        <f t="shared" si="7"/>
        <v>1646</v>
      </c>
      <c r="I110"/>
      <c r="J110" s="37"/>
      <c r="K110" s="37"/>
    </row>
    <row r="111" spans="2:11" ht="15.6" x14ac:dyDescent="0.3">
      <c r="B111" s="46" t="s">
        <v>228</v>
      </c>
      <c r="C111" s="46" t="s">
        <v>226</v>
      </c>
      <c r="D111" s="46" t="s">
        <v>156</v>
      </c>
      <c r="E111" s="44" t="s">
        <v>157</v>
      </c>
      <c r="F111" s="45">
        <v>690</v>
      </c>
      <c r="G111" s="63" t="str">
        <f t="shared" si="8"/>
        <v>Pedir</v>
      </c>
      <c r="H111" s="104">
        <f t="shared" si="7"/>
        <v>1310</v>
      </c>
      <c r="I111"/>
      <c r="J111" s="37"/>
      <c r="K111" s="37"/>
    </row>
    <row r="112" spans="2:11" ht="15.6" x14ac:dyDescent="0.3">
      <c r="B112" s="46" t="s">
        <v>229</v>
      </c>
      <c r="C112" s="46" t="s">
        <v>230</v>
      </c>
      <c r="D112" s="46" t="s">
        <v>174</v>
      </c>
      <c r="E112" s="44" t="s">
        <v>149</v>
      </c>
      <c r="F112" s="45">
        <v>2700</v>
      </c>
      <c r="G112" s="63" t="str">
        <f t="shared" si="8"/>
        <v/>
      </c>
      <c r="H112" s="104" t="str">
        <f t="shared" si="7"/>
        <v/>
      </c>
      <c r="I112"/>
      <c r="J112" s="37"/>
      <c r="K112" s="37"/>
    </row>
    <row r="114" spans="1:10" s="23" customFormat="1" ht="15.6" x14ac:dyDescent="0.3">
      <c r="A114" s="22"/>
      <c r="B114" s="23" t="s">
        <v>232</v>
      </c>
    </row>
    <row r="120" spans="1:10" ht="15" customHeight="1" thickBot="1" x14ac:dyDescent="0.35"/>
    <row r="121" spans="1:10" ht="27" thickBot="1" x14ac:dyDescent="0.35">
      <c r="B121" s="67" t="s">
        <v>233</v>
      </c>
      <c r="C121" s="67" t="s">
        <v>234</v>
      </c>
      <c r="D121" s="67" t="s">
        <v>235</v>
      </c>
      <c r="E121" s="64" t="s">
        <v>236</v>
      </c>
      <c r="F121" s="64" t="s">
        <v>237</v>
      </c>
      <c r="G121" s="25"/>
      <c r="H121" s="38" t="s">
        <v>238</v>
      </c>
      <c r="I121" s="38" t="s">
        <v>239</v>
      </c>
      <c r="J121" s="25"/>
    </row>
    <row r="122" spans="1:10" ht="15" customHeight="1" thickBot="1" x14ac:dyDescent="0.35">
      <c r="B122" s="70" t="s">
        <v>240</v>
      </c>
      <c r="C122" s="68" t="s">
        <v>241</v>
      </c>
      <c r="D122" s="69">
        <v>300000</v>
      </c>
      <c r="E122" s="65">
        <f>VLOOKUP(C122,H$122:I$126,2,0)</f>
        <v>0.14799999999999999</v>
      </c>
      <c r="F122" s="103">
        <f>D122*E122</f>
        <v>44400</v>
      </c>
      <c r="G122" s="25"/>
      <c r="H122" s="66" t="s">
        <v>241</v>
      </c>
      <c r="I122" s="39">
        <v>0.14799999999999999</v>
      </c>
      <c r="J122" s="25"/>
    </row>
    <row r="123" spans="1:10" ht="15" customHeight="1" thickBot="1" x14ac:dyDescent="0.35">
      <c r="B123" s="70" t="s">
        <v>242</v>
      </c>
      <c r="C123" s="68" t="s">
        <v>243</v>
      </c>
      <c r="D123" s="69">
        <v>160000</v>
      </c>
      <c r="E123" s="65">
        <f t="shared" ref="E123:E133" si="9">VLOOKUP(C123,H$122:I$126,2,0)</f>
        <v>0.13900000000000001</v>
      </c>
      <c r="F123" s="103">
        <f t="shared" ref="F123:F133" si="10">D123*E123</f>
        <v>22240.000000000004</v>
      </c>
      <c r="G123" s="25"/>
      <c r="H123" s="66" t="s">
        <v>244</v>
      </c>
      <c r="I123" s="39">
        <v>0.13400000000000001</v>
      </c>
      <c r="J123" s="25"/>
    </row>
    <row r="124" spans="1:10" ht="15" customHeight="1" thickBot="1" x14ac:dyDescent="0.35">
      <c r="B124" s="70" t="s">
        <v>245</v>
      </c>
      <c r="C124" s="68" t="s">
        <v>241</v>
      </c>
      <c r="D124" s="69">
        <v>200000</v>
      </c>
      <c r="E124" s="65">
        <f t="shared" si="9"/>
        <v>0.14799999999999999</v>
      </c>
      <c r="F124" s="103">
        <f t="shared" si="10"/>
        <v>29600</v>
      </c>
      <c r="G124" s="25"/>
      <c r="H124" s="66" t="s">
        <v>246</v>
      </c>
      <c r="I124" s="39">
        <v>0.14599999999999999</v>
      </c>
      <c r="J124" s="25"/>
    </row>
    <row r="125" spans="1:10" ht="15" customHeight="1" thickBot="1" x14ac:dyDescent="0.35">
      <c r="B125" s="70" t="s">
        <v>247</v>
      </c>
      <c r="C125" s="68" t="s">
        <v>243</v>
      </c>
      <c r="D125" s="69">
        <v>250000</v>
      </c>
      <c r="E125" s="65">
        <f t="shared" si="9"/>
        <v>0.13900000000000001</v>
      </c>
      <c r="F125" s="103">
        <f t="shared" si="10"/>
        <v>34750</v>
      </c>
      <c r="G125" s="25"/>
      <c r="H125" s="66" t="s">
        <v>243</v>
      </c>
      <c r="I125" s="39">
        <v>0.13900000000000001</v>
      </c>
      <c r="J125" s="25"/>
    </row>
    <row r="126" spans="1:10" ht="15" customHeight="1" thickBot="1" x14ac:dyDescent="0.35">
      <c r="B126" s="70" t="s">
        <v>248</v>
      </c>
      <c r="C126" s="68" t="s">
        <v>246</v>
      </c>
      <c r="D126" s="69">
        <v>550000</v>
      </c>
      <c r="E126" s="65">
        <f t="shared" si="9"/>
        <v>0.14599999999999999</v>
      </c>
      <c r="F126" s="103">
        <f t="shared" si="10"/>
        <v>80300</v>
      </c>
      <c r="G126" s="25"/>
      <c r="H126" s="66" t="s">
        <v>249</v>
      </c>
      <c r="I126" s="39">
        <v>0.1234</v>
      </c>
      <c r="J126" s="25"/>
    </row>
    <row r="127" spans="1:10" ht="15" customHeight="1" x14ac:dyDescent="0.3">
      <c r="B127" s="70" t="s">
        <v>250</v>
      </c>
      <c r="C127" s="68" t="s">
        <v>244</v>
      </c>
      <c r="D127" s="69">
        <v>250000</v>
      </c>
      <c r="E127" s="65">
        <f t="shared" si="9"/>
        <v>0.13400000000000001</v>
      </c>
      <c r="F127" s="103">
        <f t="shared" si="10"/>
        <v>33500</v>
      </c>
      <c r="G127" s="25"/>
      <c r="H127" s="25"/>
      <c r="I127" s="25"/>
      <c r="J127" s="25"/>
    </row>
    <row r="128" spans="1:10" ht="15" customHeight="1" x14ac:dyDescent="0.3">
      <c r="B128" s="70" t="s">
        <v>251</v>
      </c>
      <c r="C128" s="68" t="s">
        <v>249</v>
      </c>
      <c r="D128" s="69">
        <v>350000</v>
      </c>
      <c r="E128" s="65">
        <f t="shared" si="9"/>
        <v>0.1234</v>
      </c>
      <c r="F128" s="103">
        <f t="shared" si="10"/>
        <v>43190</v>
      </c>
      <c r="G128" s="25"/>
      <c r="H128" s="25"/>
      <c r="I128" s="25"/>
      <c r="J128" s="25"/>
    </row>
    <row r="129" spans="2:10" ht="15" customHeight="1" x14ac:dyDescent="0.3">
      <c r="B129" s="70" t="s">
        <v>252</v>
      </c>
      <c r="C129" s="68" t="s">
        <v>241</v>
      </c>
      <c r="D129" s="69">
        <v>850000</v>
      </c>
      <c r="E129" s="65">
        <f t="shared" si="9"/>
        <v>0.14799999999999999</v>
      </c>
      <c r="F129" s="103">
        <f t="shared" si="10"/>
        <v>125800</v>
      </c>
      <c r="G129" s="25"/>
      <c r="H129" s="25"/>
      <c r="I129" s="25"/>
      <c r="J129" s="25"/>
    </row>
    <row r="130" spans="2:10" ht="15" customHeight="1" x14ac:dyDescent="0.3">
      <c r="B130" s="70" t="s">
        <v>253</v>
      </c>
      <c r="C130" s="68" t="s">
        <v>243</v>
      </c>
      <c r="D130" s="69">
        <v>230000</v>
      </c>
      <c r="E130" s="65">
        <f t="shared" si="9"/>
        <v>0.13900000000000001</v>
      </c>
      <c r="F130" s="103">
        <f t="shared" si="10"/>
        <v>31970.000000000004</v>
      </c>
      <c r="G130" s="25"/>
      <c r="H130" s="25"/>
      <c r="I130" s="25"/>
      <c r="J130" s="25"/>
    </row>
    <row r="131" spans="2:10" ht="15" customHeight="1" x14ac:dyDescent="0.3">
      <c r="B131" s="70" t="s">
        <v>254</v>
      </c>
      <c r="C131" s="68" t="s">
        <v>246</v>
      </c>
      <c r="D131" s="69">
        <v>260000</v>
      </c>
      <c r="E131" s="65">
        <f t="shared" si="9"/>
        <v>0.14599999999999999</v>
      </c>
      <c r="F131" s="103">
        <f t="shared" si="10"/>
        <v>37960</v>
      </c>
      <c r="G131" s="25"/>
      <c r="H131" s="25"/>
      <c r="I131" s="25"/>
      <c r="J131" s="25"/>
    </row>
    <row r="132" spans="2:10" ht="15" customHeight="1" x14ac:dyDescent="0.3">
      <c r="B132" s="70" t="s">
        <v>255</v>
      </c>
      <c r="C132" s="68" t="s">
        <v>244</v>
      </c>
      <c r="D132" s="69">
        <v>400000</v>
      </c>
      <c r="E132" s="65">
        <f t="shared" si="9"/>
        <v>0.13400000000000001</v>
      </c>
      <c r="F132" s="103">
        <f t="shared" si="10"/>
        <v>53600</v>
      </c>
      <c r="G132" s="25"/>
      <c r="H132" s="25"/>
      <c r="I132" s="25"/>
      <c r="J132" s="25"/>
    </row>
    <row r="133" spans="2:10" ht="15" customHeight="1" x14ac:dyDescent="0.3">
      <c r="B133" s="70" t="s">
        <v>256</v>
      </c>
      <c r="C133" s="68" t="s">
        <v>249</v>
      </c>
      <c r="D133" s="69">
        <v>500000</v>
      </c>
      <c r="E133" s="65">
        <f t="shared" si="9"/>
        <v>0.1234</v>
      </c>
      <c r="F133" s="103">
        <f t="shared" si="10"/>
        <v>61700</v>
      </c>
      <c r="G133" s="25"/>
      <c r="H133" s="25"/>
      <c r="I133" s="25"/>
      <c r="J133" s="25"/>
    </row>
  </sheetData>
  <mergeCells count="4">
    <mergeCell ref="C47:C48"/>
    <mergeCell ref="D47:D48"/>
    <mergeCell ref="E47:E48"/>
    <mergeCell ref="B1:M2"/>
  </mergeCells>
  <conditionalFormatting sqref="F122:F133">
    <cfRule type="cellIs" dxfId="0" priority="1" operator="between">
      <formula>30000</formula>
      <formula>55000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topLeftCell="A5" zoomScale="115" zoomScaleNormal="115" workbookViewId="0">
      <selection activeCell="A5" sqref="A5:J44"/>
    </sheetView>
  </sheetViews>
  <sheetFormatPr baseColWidth="10" defaultRowHeight="14.4" x14ac:dyDescent="0.3"/>
  <cols>
    <col min="1" max="1" width="14.109375" customWidth="1"/>
    <col min="3" max="3" width="13.21875" customWidth="1"/>
    <col min="9" max="9" width="13.44140625" customWidth="1"/>
    <col min="10" max="10" width="16.5546875" customWidth="1"/>
  </cols>
  <sheetData>
    <row r="1" spans="1:29" s="14" customFormat="1" ht="25.5" customHeight="1" x14ac:dyDescent="0.55000000000000004">
      <c r="A1" s="11"/>
      <c r="B1" s="79" t="s">
        <v>257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47"/>
      <c r="O1" s="47"/>
      <c r="P1" s="47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55000000000000004">
      <c r="A2" s="1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47"/>
      <c r="O2" s="47"/>
      <c r="P2" s="47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0.399999999999999" x14ac:dyDescent="0.3">
      <c r="A5" s="87" t="s">
        <v>258</v>
      </c>
      <c r="B5" s="87" t="s">
        <v>3</v>
      </c>
      <c r="C5" s="87" t="s">
        <v>259</v>
      </c>
      <c r="D5" s="87" t="s">
        <v>260</v>
      </c>
      <c r="E5" s="87" t="s">
        <v>261</v>
      </c>
      <c r="F5" s="87" t="s">
        <v>262</v>
      </c>
      <c r="G5" s="88" t="s">
        <v>263</v>
      </c>
      <c r="H5" s="87" t="s">
        <v>264</v>
      </c>
      <c r="I5" s="89" t="s">
        <v>6</v>
      </c>
      <c r="J5" s="89" t="s">
        <v>265</v>
      </c>
      <c r="L5" s="77" t="s">
        <v>328</v>
      </c>
    </row>
    <row r="6" spans="1:29" hidden="1" x14ac:dyDescent="0.3">
      <c r="A6" s="71" t="s">
        <v>315</v>
      </c>
      <c r="B6" s="71" t="s">
        <v>290</v>
      </c>
      <c r="C6" s="71">
        <v>43707</v>
      </c>
      <c r="D6" s="72" t="s">
        <v>283</v>
      </c>
      <c r="E6" s="73" t="s">
        <v>268</v>
      </c>
      <c r="F6" s="74" t="s">
        <v>273</v>
      </c>
      <c r="G6" s="73">
        <v>2019</v>
      </c>
      <c r="H6" s="75">
        <v>39200</v>
      </c>
      <c r="I6" s="76" t="s">
        <v>7</v>
      </c>
      <c r="J6" s="76">
        <v>11</v>
      </c>
      <c r="L6" t="s">
        <v>327</v>
      </c>
    </row>
    <row r="7" spans="1:29" x14ac:dyDescent="0.3">
      <c r="A7" s="71" t="s">
        <v>280</v>
      </c>
      <c r="B7" s="71" t="s">
        <v>276</v>
      </c>
      <c r="C7" s="71">
        <v>43812</v>
      </c>
      <c r="D7" s="72" t="s">
        <v>279</v>
      </c>
      <c r="E7" s="73" t="s">
        <v>268</v>
      </c>
      <c r="F7" s="74" t="s">
        <v>269</v>
      </c>
      <c r="G7" s="73">
        <v>2019</v>
      </c>
      <c r="H7" s="75">
        <v>58000</v>
      </c>
      <c r="I7" s="76" t="s">
        <v>274</v>
      </c>
      <c r="J7" s="76">
        <v>10</v>
      </c>
      <c r="L7" t="s">
        <v>329</v>
      </c>
    </row>
    <row r="8" spans="1:29" hidden="1" x14ac:dyDescent="0.3">
      <c r="A8" s="71" t="s">
        <v>281</v>
      </c>
      <c r="B8" s="71" t="s">
        <v>282</v>
      </c>
      <c r="C8" s="71">
        <v>43858</v>
      </c>
      <c r="D8" s="72" t="s">
        <v>283</v>
      </c>
      <c r="E8" s="73" t="s">
        <v>272</v>
      </c>
      <c r="F8" s="74" t="s">
        <v>284</v>
      </c>
      <c r="G8" s="73">
        <v>2020</v>
      </c>
      <c r="H8" s="75">
        <v>62006</v>
      </c>
      <c r="I8" s="76" t="s">
        <v>274</v>
      </c>
      <c r="J8" s="76">
        <v>10</v>
      </c>
      <c r="L8" t="s">
        <v>330</v>
      </c>
    </row>
    <row r="9" spans="1:29" x14ac:dyDescent="0.3">
      <c r="A9" s="71" t="s">
        <v>319</v>
      </c>
      <c r="B9" s="71" t="s">
        <v>288</v>
      </c>
      <c r="C9" s="71">
        <v>43831</v>
      </c>
      <c r="D9" s="72" t="s">
        <v>267</v>
      </c>
      <c r="E9" s="73" t="s">
        <v>272</v>
      </c>
      <c r="F9" s="74" t="s">
        <v>269</v>
      </c>
      <c r="G9" s="73">
        <v>2020</v>
      </c>
      <c r="H9" s="75">
        <v>73500</v>
      </c>
      <c r="I9" s="76" t="s">
        <v>320</v>
      </c>
      <c r="J9" s="76">
        <v>9</v>
      </c>
    </row>
    <row r="10" spans="1:29" x14ac:dyDescent="0.3">
      <c r="A10" s="71" t="s">
        <v>275</v>
      </c>
      <c r="B10" s="71" t="s">
        <v>276</v>
      </c>
      <c r="C10" s="71">
        <v>43758</v>
      </c>
      <c r="D10" s="72" t="s">
        <v>267</v>
      </c>
      <c r="E10" s="73" t="s">
        <v>268</v>
      </c>
      <c r="F10" s="74" t="s">
        <v>269</v>
      </c>
      <c r="G10" s="73">
        <v>2019</v>
      </c>
      <c r="H10" s="75">
        <v>32006</v>
      </c>
      <c r="I10" s="76" t="s">
        <v>277</v>
      </c>
      <c r="J10" s="76">
        <v>9</v>
      </c>
    </row>
    <row r="11" spans="1:29" hidden="1" x14ac:dyDescent="0.3">
      <c r="A11" s="71" t="s">
        <v>302</v>
      </c>
      <c r="B11" s="71" t="s">
        <v>4</v>
      </c>
      <c r="C11" s="71">
        <v>43900</v>
      </c>
      <c r="D11" s="72" t="s">
        <v>279</v>
      </c>
      <c r="E11" s="73" t="s">
        <v>268</v>
      </c>
      <c r="F11" s="74" t="s">
        <v>284</v>
      </c>
      <c r="G11" s="73">
        <v>2020</v>
      </c>
      <c r="H11" s="75">
        <v>65400</v>
      </c>
      <c r="I11" s="76" t="s">
        <v>277</v>
      </c>
      <c r="J11" s="76">
        <v>9</v>
      </c>
    </row>
    <row r="12" spans="1:29" hidden="1" x14ac:dyDescent="0.3">
      <c r="A12" s="71" t="s">
        <v>309</v>
      </c>
      <c r="B12" s="71" t="s">
        <v>310</v>
      </c>
      <c r="C12" s="71">
        <v>44037</v>
      </c>
      <c r="D12" s="72" t="s">
        <v>267</v>
      </c>
      <c r="E12" s="73" t="s">
        <v>272</v>
      </c>
      <c r="F12" s="74" t="s">
        <v>273</v>
      </c>
      <c r="G12" s="73">
        <v>2020</v>
      </c>
      <c r="H12" s="75">
        <v>92820</v>
      </c>
      <c r="I12" s="76" t="s">
        <v>277</v>
      </c>
      <c r="J12" s="76">
        <v>9</v>
      </c>
    </row>
    <row r="13" spans="1:29" x14ac:dyDescent="0.3">
      <c r="A13" s="71" t="s">
        <v>325</v>
      </c>
      <c r="B13" s="71" t="s">
        <v>310</v>
      </c>
      <c r="C13" s="71">
        <v>43809</v>
      </c>
      <c r="D13" s="72" t="s">
        <v>267</v>
      </c>
      <c r="E13" s="73" t="s">
        <v>272</v>
      </c>
      <c r="F13" s="74" t="s">
        <v>269</v>
      </c>
      <c r="G13" s="73">
        <v>2019</v>
      </c>
      <c r="H13" s="75">
        <v>70900</v>
      </c>
      <c r="I13" s="76" t="s">
        <v>320</v>
      </c>
      <c r="J13" s="76">
        <v>8</v>
      </c>
    </row>
    <row r="14" spans="1:29" hidden="1" x14ac:dyDescent="0.3">
      <c r="A14" s="71" t="s">
        <v>292</v>
      </c>
      <c r="B14" s="71" t="s">
        <v>276</v>
      </c>
      <c r="C14" s="71">
        <v>43792</v>
      </c>
      <c r="D14" s="72" t="s">
        <v>267</v>
      </c>
      <c r="E14" s="73" t="s">
        <v>268</v>
      </c>
      <c r="F14" s="74" t="s">
        <v>284</v>
      </c>
      <c r="G14" s="73">
        <v>2019</v>
      </c>
      <c r="H14" s="75">
        <v>43000</v>
      </c>
      <c r="I14" s="76" t="s">
        <v>277</v>
      </c>
      <c r="J14" s="76">
        <v>8</v>
      </c>
    </row>
    <row r="15" spans="1:29" x14ac:dyDescent="0.3">
      <c r="A15" s="71" t="s">
        <v>299</v>
      </c>
      <c r="B15" s="71" t="s">
        <v>271</v>
      </c>
      <c r="C15" s="71">
        <v>43708</v>
      </c>
      <c r="D15" s="72" t="s">
        <v>279</v>
      </c>
      <c r="E15" s="73" t="s">
        <v>272</v>
      </c>
      <c r="F15" s="74" t="s">
        <v>269</v>
      </c>
      <c r="G15" s="73">
        <v>2019</v>
      </c>
      <c r="H15" s="75">
        <v>85000</v>
      </c>
      <c r="I15" s="76" t="s">
        <v>277</v>
      </c>
      <c r="J15" s="76">
        <v>8</v>
      </c>
    </row>
    <row r="16" spans="1:29" x14ac:dyDescent="0.3">
      <c r="A16" s="71" t="s">
        <v>300</v>
      </c>
      <c r="B16" s="71" t="s">
        <v>288</v>
      </c>
      <c r="C16" s="71">
        <v>43727</v>
      </c>
      <c r="D16" s="72" t="s">
        <v>283</v>
      </c>
      <c r="E16" s="73" t="s">
        <v>272</v>
      </c>
      <c r="F16" s="74" t="s">
        <v>269</v>
      </c>
      <c r="G16" s="73">
        <v>2019</v>
      </c>
      <c r="H16" s="75">
        <v>44000</v>
      </c>
      <c r="I16" s="76" t="s">
        <v>277</v>
      </c>
      <c r="J16" s="76">
        <v>8</v>
      </c>
    </row>
    <row r="17" spans="1:10" x14ac:dyDescent="0.3">
      <c r="A17" s="71" t="s">
        <v>306</v>
      </c>
      <c r="B17" s="71" t="s">
        <v>290</v>
      </c>
      <c r="C17" s="71">
        <v>44057</v>
      </c>
      <c r="D17" s="72" t="s">
        <v>267</v>
      </c>
      <c r="E17" s="73" t="s">
        <v>268</v>
      </c>
      <c r="F17" s="74" t="s">
        <v>269</v>
      </c>
      <c r="G17" s="73">
        <v>2020</v>
      </c>
      <c r="H17" s="75">
        <v>51060</v>
      </c>
      <c r="I17" s="76" t="s">
        <v>277</v>
      </c>
      <c r="J17" s="76">
        <v>8</v>
      </c>
    </row>
    <row r="18" spans="1:10" hidden="1" x14ac:dyDescent="0.3">
      <c r="A18" s="71" t="s">
        <v>311</v>
      </c>
      <c r="B18" s="71" t="s">
        <v>310</v>
      </c>
      <c r="C18" s="71">
        <v>43897</v>
      </c>
      <c r="D18" s="72" t="s">
        <v>279</v>
      </c>
      <c r="E18" s="73" t="s">
        <v>272</v>
      </c>
      <c r="F18" s="74" t="s">
        <v>284</v>
      </c>
      <c r="G18" s="73">
        <v>2020</v>
      </c>
      <c r="H18" s="75">
        <v>51251</v>
      </c>
      <c r="I18" s="76" t="s">
        <v>312</v>
      </c>
      <c r="J18" s="76">
        <v>8</v>
      </c>
    </row>
    <row r="19" spans="1:10" x14ac:dyDescent="0.3">
      <c r="A19" s="71" t="s">
        <v>296</v>
      </c>
      <c r="B19" s="71" t="s">
        <v>8</v>
      </c>
      <c r="C19" s="71">
        <v>44034</v>
      </c>
      <c r="D19" s="72" t="s">
        <v>279</v>
      </c>
      <c r="E19" s="73" t="s">
        <v>268</v>
      </c>
      <c r="F19" s="74" t="s">
        <v>269</v>
      </c>
      <c r="G19" s="73">
        <v>2020</v>
      </c>
      <c r="H19" s="75">
        <v>70000</v>
      </c>
      <c r="I19" s="76" t="s">
        <v>7</v>
      </c>
      <c r="J19" s="76">
        <v>8</v>
      </c>
    </row>
    <row r="20" spans="1:10" hidden="1" x14ac:dyDescent="0.3">
      <c r="A20" s="71" t="s">
        <v>303</v>
      </c>
      <c r="B20" s="71" t="s">
        <v>4</v>
      </c>
      <c r="C20" s="71">
        <v>44084</v>
      </c>
      <c r="D20" s="72" t="s">
        <v>279</v>
      </c>
      <c r="E20" s="73" t="s">
        <v>268</v>
      </c>
      <c r="F20" s="74" t="s">
        <v>284</v>
      </c>
      <c r="G20" s="73">
        <v>2020</v>
      </c>
      <c r="H20" s="75">
        <v>55640</v>
      </c>
      <c r="I20" s="76" t="s">
        <v>277</v>
      </c>
      <c r="J20" s="76">
        <v>7</v>
      </c>
    </row>
    <row r="21" spans="1:10" x14ac:dyDescent="0.3">
      <c r="A21" s="71" t="s">
        <v>278</v>
      </c>
      <c r="B21" s="71" t="s">
        <v>4</v>
      </c>
      <c r="C21" s="71">
        <v>43885</v>
      </c>
      <c r="D21" s="72" t="s">
        <v>279</v>
      </c>
      <c r="E21" s="73" t="s">
        <v>268</v>
      </c>
      <c r="F21" s="74" t="s">
        <v>269</v>
      </c>
      <c r="G21" s="73">
        <v>2020</v>
      </c>
      <c r="H21" s="75">
        <v>45000</v>
      </c>
      <c r="I21" s="76" t="s">
        <v>7</v>
      </c>
      <c r="J21" s="76">
        <v>7</v>
      </c>
    </row>
    <row r="22" spans="1:10" hidden="1" x14ac:dyDescent="0.3">
      <c r="A22" s="71" t="s">
        <v>270</v>
      </c>
      <c r="B22" s="71" t="s">
        <v>271</v>
      </c>
      <c r="C22" s="71">
        <v>44076</v>
      </c>
      <c r="D22" s="72" t="s">
        <v>267</v>
      </c>
      <c r="E22" s="73" t="s">
        <v>272</v>
      </c>
      <c r="F22" s="74" t="s">
        <v>273</v>
      </c>
      <c r="G22" s="73">
        <v>2020</v>
      </c>
      <c r="H22" s="75">
        <v>54000</v>
      </c>
      <c r="I22" s="76" t="s">
        <v>274</v>
      </c>
      <c r="J22" s="76">
        <v>6</v>
      </c>
    </row>
    <row r="23" spans="1:10" hidden="1" x14ac:dyDescent="0.3">
      <c r="A23" s="71" t="s">
        <v>287</v>
      </c>
      <c r="B23" s="71" t="s">
        <v>288</v>
      </c>
      <c r="C23" s="71">
        <v>43908</v>
      </c>
      <c r="D23" s="72" t="s">
        <v>279</v>
      </c>
      <c r="E23" s="73" t="s">
        <v>272</v>
      </c>
      <c r="F23" s="74" t="s">
        <v>284</v>
      </c>
      <c r="G23" s="73">
        <v>2020</v>
      </c>
      <c r="H23" s="75">
        <v>123000</v>
      </c>
      <c r="I23" s="76" t="s">
        <v>274</v>
      </c>
      <c r="J23" s="76">
        <v>6</v>
      </c>
    </row>
    <row r="24" spans="1:10" hidden="1" x14ac:dyDescent="0.3">
      <c r="A24" s="71" t="s">
        <v>295</v>
      </c>
      <c r="B24" s="71" t="s">
        <v>294</v>
      </c>
      <c r="C24" s="71">
        <v>43607</v>
      </c>
      <c r="D24" s="72" t="s">
        <v>267</v>
      </c>
      <c r="E24" s="73" t="s">
        <v>268</v>
      </c>
      <c r="F24" s="74" t="s">
        <v>284</v>
      </c>
      <c r="G24" s="73">
        <v>2019</v>
      </c>
      <c r="H24" s="75">
        <v>130000</v>
      </c>
      <c r="I24" s="76" t="s">
        <v>274</v>
      </c>
      <c r="J24" s="76">
        <v>6</v>
      </c>
    </row>
    <row r="25" spans="1:10" hidden="1" x14ac:dyDescent="0.3">
      <c r="A25" s="71" t="s">
        <v>308</v>
      </c>
      <c r="B25" s="71" t="s">
        <v>276</v>
      </c>
      <c r="C25" s="71">
        <v>43845</v>
      </c>
      <c r="D25" s="72" t="s">
        <v>267</v>
      </c>
      <c r="E25" s="73" t="s">
        <v>268</v>
      </c>
      <c r="F25" s="74" t="s">
        <v>273</v>
      </c>
      <c r="G25" s="73">
        <v>2020</v>
      </c>
      <c r="H25" s="75">
        <v>85536</v>
      </c>
      <c r="I25" s="76" t="s">
        <v>277</v>
      </c>
      <c r="J25" s="76">
        <v>6</v>
      </c>
    </row>
    <row r="26" spans="1:10" hidden="1" x14ac:dyDescent="0.3">
      <c r="A26" s="71" t="s">
        <v>322</v>
      </c>
      <c r="B26" s="71" t="s">
        <v>276</v>
      </c>
      <c r="C26" s="71">
        <v>43803</v>
      </c>
      <c r="D26" s="72" t="s">
        <v>279</v>
      </c>
      <c r="E26" s="73" t="s">
        <v>268</v>
      </c>
      <c r="F26" s="74" t="s">
        <v>273</v>
      </c>
      <c r="G26" s="73">
        <v>2019</v>
      </c>
      <c r="H26" s="75">
        <v>45900</v>
      </c>
      <c r="I26" s="76" t="s">
        <v>323</v>
      </c>
      <c r="J26" s="76">
        <v>6</v>
      </c>
    </row>
    <row r="27" spans="1:10" hidden="1" x14ac:dyDescent="0.3">
      <c r="A27" s="71" t="s">
        <v>291</v>
      </c>
      <c r="B27" s="71" t="s">
        <v>290</v>
      </c>
      <c r="C27" s="71">
        <v>43905</v>
      </c>
      <c r="D27" s="72" t="s">
        <v>279</v>
      </c>
      <c r="E27" s="73" t="s">
        <v>268</v>
      </c>
      <c r="F27" s="74" t="s">
        <v>284</v>
      </c>
      <c r="G27" s="73">
        <v>2020</v>
      </c>
      <c r="H27" s="75">
        <v>65000</v>
      </c>
      <c r="I27" s="76" t="s">
        <v>274</v>
      </c>
      <c r="J27" s="76">
        <v>5</v>
      </c>
    </row>
    <row r="28" spans="1:10" hidden="1" x14ac:dyDescent="0.3">
      <c r="A28" s="71" t="s">
        <v>301</v>
      </c>
      <c r="B28" s="71" t="s">
        <v>288</v>
      </c>
      <c r="C28" s="71">
        <v>43951</v>
      </c>
      <c r="D28" s="72" t="s">
        <v>279</v>
      </c>
      <c r="E28" s="73" t="s">
        <v>272</v>
      </c>
      <c r="F28" s="74" t="s">
        <v>273</v>
      </c>
      <c r="G28" s="73">
        <v>2020</v>
      </c>
      <c r="H28" s="75">
        <v>46870</v>
      </c>
      <c r="I28" s="76" t="s">
        <v>277</v>
      </c>
      <c r="J28" s="76">
        <v>5</v>
      </c>
    </row>
    <row r="29" spans="1:10" x14ac:dyDescent="0.3">
      <c r="A29" s="71" t="s">
        <v>298</v>
      </c>
      <c r="B29" s="71" t="s">
        <v>294</v>
      </c>
      <c r="C29" s="71">
        <v>43981</v>
      </c>
      <c r="D29" s="72" t="s">
        <v>279</v>
      </c>
      <c r="E29" s="73" t="s">
        <v>268</v>
      </c>
      <c r="F29" s="74" t="s">
        <v>269</v>
      </c>
      <c r="G29" s="73">
        <v>2020</v>
      </c>
      <c r="H29" s="75">
        <v>65000</v>
      </c>
      <c r="I29" s="76" t="s">
        <v>7</v>
      </c>
      <c r="J29" s="76">
        <v>5</v>
      </c>
    </row>
    <row r="30" spans="1:10" hidden="1" x14ac:dyDescent="0.3">
      <c r="A30" s="71" t="s">
        <v>321</v>
      </c>
      <c r="B30" s="71" t="s">
        <v>282</v>
      </c>
      <c r="C30" s="71">
        <v>43849</v>
      </c>
      <c r="D30" s="72" t="s">
        <v>283</v>
      </c>
      <c r="E30" s="73" t="s">
        <v>272</v>
      </c>
      <c r="F30" s="74" t="s">
        <v>284</v>
      </c>
      <c r="G30" s="73">
        <v>2020</v>
      </c>
      <c r="H30" s="75">
        <v>32400</v>
      </c>
      <c r="I30" s="76" t="s">
        <v>274</v>
      </c>
      <c r="J30" s="76">
        <v>4</v>
      </c>
    </row>
    <row r="31" spans="1:10" x14ac:dyDescent="0.3">
      <c r="A31" s="71" t="s">
        <v>293</v>
      </c>
      <c r="B31" s="71" t="s">
        <v>294</v>
      </c>
      <c r="C31" s="71">
        <v>43784</v>
      </c>
      <c r="D31" s="72" t="s">
        <v>279</v>
      </c>
      <c r="E31" s="73" t="s">
        <v>268</v>
      </c>
      <c r="F31" s="74" t="s">
        <v>269</v>
      </c>
      <c r="G31" s="73">
        <v>2019</v>
      </c>
      <c r="H31" s="75">
        <v>78000</v>
      </c>
      <c r="I31" s="76" t="s">
        <v>286</v>
      </c>
      <c r="J31" s="76">
        <v>4</v>
      </c>
    </row>
    <row r="32" spans="1:10" hidden="1" x14ac:dyDescent="0.3">
      <c r="A32" s="71" t="s">
        <v>305</v>
      </c>
      <c r="B32" s="71" t="s">
        <v>294</v>
      </c>
      <c r="C32" s="71">
        <v>44025</v>
      </c>
      <c r="D32" s="72" t="s">
        <v>267</v>
      </c>
      <c r="E32" s="73" t="s">
        <v>268</v>
      </c>
      <c r="F32" s="74" t="s">
        <v>284</v>
      </c>
      <c r="G32" s="73">
        <v>2020</v>
      </c>
      <c r="H32" s="75">
        <v>65720</v>
      </c>
      <c r="I32" s="76" t="s">
        <v>277</v>
      </c>
      <c r="J32" s="76">
        <v>4</v>
      </c>
    </row>
    <row r="33" spans="1:10" x14ac:dyDescent="0.3">
      <c r="A33" s="71" t="s">
        <v>326</v>
      </c>
      <c r="B33" s="71" t="s">
        <v>5</v>
      </c>
      <c r="C33" s="71">
        <v>43781</v>
      </c>
      <c r="D33" s="72" t="s">
        <v>267</v>
      </c>
      <c r="E33" s="73" t="s">
        <v>268</v>
      </c>
      <c r="F33" s="74" t="s">
        <v>269</v>
      </c>
      <c r="G33" s="73">
        <v>2019</v>
      </c>
      <c r="H33" s="75">
        <v>38500</v>
      </c>
      <c r="I33" s="76" t="s">
        <v>277</v>
      </c>
      <c r="J33" s="76">
        <v>4</v>
      </c>
    </row>
    <row r="34" spans="1:10" x14ac:dyDescent="0.3">
      <c r="A34" s="71" t="s">
        <v>289</v>
      </c>
      <c r="B34" s="71" t="s">
        <v>290</v>
      </c>
      <c r="C34" s="71">
        <v>43718</v>
      </c>
      <c r="D34" s="72" t="s">
        <v>283</v>
      </c>
      <c r="E34" s="73" t="s">
        <v>268</v>
      </c>
      <c r="F34" s="74" t="s">
        <v>269</v>
      </c>
      <c r="G34" s="73">
        <v>2019</v>
      </c>
      <c r="H34" s="75">
        <v>52006</v>
      </c>
      <c r="I34" s="76" t="s">
        <v>7</v>
      </c>
      <c r="J34" s="76">
        <v>4</v>
      </c>
    </row>
    <row r="35" spans="1:10" x14ac:dyDescent="0.3">
      <c r="A35" s="71" t="s">
        <v>317</v>
      </c>
      <c r="B35" s="71" t="s">
        <v>276</v>
      </c>
      <c r="C35" s="71">
        <v>43982</v>
      </c>
      <c r="D35" s="72" t="s">
        <v>283</v>
      </c>
      <c r="E35" s="73" t="s">
        <v>268</v>
      </c>
      <c r="F35" s="74" t="s">
        <v>269</v>
      </c>
      <c r="G35" s="73">
        <v>2020</v>
      </c>
      <c r="H35" s="75">
        <v>67900</v>
      </c>
      <c r="I35" s="76" t="s">
        <v>7</v>
      </c>
      <c r="J35" s="76">
        <v>4</v>
      </c>
    </row>
    <row r="36" spans="1:10" hidden="1" x14ac:dyDescent="0.3">
      <c r="A36" s="71" t="s">
        <v>285</v>
      </c>
      <c r="B36" s="71" t="s">
        <v>276</v>
      </c>
      <c r="C36" s="71">
        <v>43755</v>
      </c>
      <c r="D36" s="72" t="s">
        <v>267</v>
      </c>
      <c r="E36" s="73" t="s">
        <v>268</v>
      </c>
      <c r="F36" s="74" t="s">
        <v>269</v>
      </c>
      <c r="G36" s="73">
        <v>2019</v>
      </c>
      <c r="H36" s="75">
        <v>74000</v>
      </c>
      <c r="I36" s="76" t="s">
        <v>286</v>
      </c>
      <c r="J36" s="76">
        <v>3</v>
      </c>
    </row>
    <row r="37" spans="1:10" hidden="1" x14ac:dyDescent="0.3">
      <c r="A37" s="71" t="s">
        <v>307</v>
      </c>
      <c r="B37" s="71" t="s">
        <v>288</v>
      </c>
      <c r="C37" s="71">
        <v>43913</v>
      </c>
      <c r="D37" s="72" t="s">
        <v>283</v>
      </c>
      <c r="E37" s="73" t="s">
        <v>272</v>
      </c>
      <c r="F37" s="74" t="s">
        <v>273</v>
      </c>
      <c r="G37" s="73">
        <v>2020</v>
      </c>
      <c r="H37" s="75">
        <v>54508</v>
      </c>
      <c r="I37" s="76" t="s">
        <v>277</v>
      </c>
      <c r="J37" s="76">
        <v>3</v>
      </c>
    </row>
    <row r="38" spans="1:10" hidden="1" x14ac:dyDescent="0.3">
      <c r="A38" s="71" t="s">
        <v>266</v>
      </c>
      <c r="B38" s="71" t="s">
        <v>5</v>
      </c>
      <c r="C38" s="71">
        <v>43868</v>
      </c>
      <c r="D38" s="72" t="s">
        <v>267</v>
      </c>
      <c r="E38" s="73" t="s">
        <v>268</v>
      </c>
      <c r="F38" s="74" t="s">
        <v>269</v>
      </c>
      <c r="G38" s="73">
        <v>2020</v>
      </c>
      <c r="H38" s="75">
        <v>43000</v>
      </c>
      <c r="I38" s="76" t="s">
        <v>7</v>
      </c>
      <c r="J38" s="76">
        <v>3</v>
      </c>
    </row>
    <row r="39" spans="1:10" hidden="1" x14ac:dyDescent="0.3">
      <c r="A39" s="71" t="s">
        <v>324</v>
      </c>
      <c r="B39" s="71" t="s">
        <v>294</v>
      </c>
      <c r="C39" s="71">
        <v>43724</v>
      </c>
      <c r="D39" s="72" t="s">
        <v>283</v>
      </c>
      <c r="E39" s="73" t="s">
        <v>268</v>
      </c>
      <c r="F39" s="74" t="s">
        <v>269</v>
      </c>
      <c r="G39" s="73">
        <v>2019</v>
      </c>
      <c r="H39" s="75">
        <v>63100</v>
      </c>
      <c r="I39" s="76" t="s">
        <v>277</v>
      </c>
      <c r="J39" s="76">
        <v>2</v>
      </c>
    </row>
    <row r="40" spans="1:10" hidden="1" x14ac:dyDescent="0.3">
      <c r="A40" s="71" t="s">
        <v>313</v>
      </c>
      <c r="B40" s="71" t="s">
        <v>314</v>
      </c>
      <c r="C40" s="71">
        <v>43672</v>
      </c>
      <c r="D40" s="72" t="s">
        <v>267</v>
      </c>
      <c r="E40" s="73" t="s">
        <v>272</v>
      </c>
      <c r="F40" s="74" t="s">
        <v>269</v>
      </c>
      <c r="G40" s="73">
        <v>2019</v>
      </c>
      <c r="H40" s="75">
        <v>62402</v>
      </c>
      <c r="I40" s="76" t="s">
        <v>312</v>
      </c>
      <c r="J40" s="76">
        <v>2</v>
      </c>
    </row>
    <row r="41" spans="1:10" hidden="1" x14ac:dyDescent="0.3">
      <c r="A41" s="71" t="s">
        <v>318</v>
      </c>
      <c r="B41" s="71" t="s">
        <v>5</v>
      </c>
      <c r="C41" s="71">
        <v>44043</v>
      </c>
      <c r="D41" s="72" t="s">
        <v>267</v>
      </c>
      <c r="E41" s="73" t="s">
        <v>268</v>
      </c>
      <c r="F41" s="74" t="s">
        <v>269</v>
      </c>
      <c r="G41" s="73">
        <v>2020</v>
      </c>
      <c r="H41" s="75">
        <v>95500</v>
      </c>
      <c r="I41" s="76" t="s">
        <v>7</v>
      </c>
      <c r="J41" s="76">
        <v>2</v>
      </c>
    </row>
    <row r="42" spans="1:10" hidden="1" x14ac:dyDescent="0.3">
      <c r="A42" s="71" t="s">
        <v>304</v>
      </c>
      <c r="B42" s="71" t="s">
        <v>5</v>
      </c>
      <c r="C42" s="71">
        <v>43944</v>
      </c>
      <c r="D42" s="72" t="s">
        <v>267</v>
      </c>
      <c r="E42" s="73" t="s">
        <v>268</v>
      </c>
      <c r="F42" s="74" t="s">
        <v>273</v>
      </c>
      <c r="G42" s="73">
        <v>2020</v>
      </c>
      <c r="H42" s="75">
        <v>92650</v>
      </c>
      <c r="I42" s="76" t="s">
        <v>277</v>
      </c>
      <c r="J42" s="76">
        <v>1</v>
      </c>
    </row>
    <row r="43" spans="1:10" hidden="1" x14ac:dyDescent="0.3">
      <c r="A43" s="71" t="s">
        <v>297</v>
      </c>
      <c r="B43" s="71" t="s">
        <v>288</v>
      </c>
      <c r="C43" s="71">
        <v>43717</v>
      </c>
      <c r="D43" s="72" t="s">
        <v>283</v>
      </c>
      <c r="E43" s="73" t="s">
        <v>272</v>
      </c>
      <c r="F43" s="74" t="s">
        <v>273</v>
      </c>
      <c r="G43" s="73">
        <v>2019</v>
      </c>
      <c r="H43" s="75">
        <v>75000</v>
      </c>
      <c r="I43" s="76" t="s">
        <v>7</v>
      </c>
      <c r="J43" s="76">
        <v>1</v>
      </c>
    </row>
    <row r="44" spans="1:10" hidden="1" x14ac:dyDescent="0.3">
      <c r="A44" s="90" t="s">
        <v>316</v>
      </c>
      <c r="B44" s="90" t="s">
        <v>4</v>
      </c>
      <c r="C44" s="90">
        <v>43930</v>
      </c>
      <c r="D44" s="91" t="s">
        <v>267</v>
      </c>
      <c r="E44" s="92" t="s">
        <v>268</v>
      </c>
      <c r="F44" s="93" t="s">
        <v>273</v>
      </c>
      <c r="G44" s="92">
        <v>2020</v>
      </c>
      <c r="H44" s="94">
        <v>68900</v>
      </c>
      <c r="I44" s="95" t="s">
        <v>312</v>
      </c>
      <c r="J44" s="95">
        <v>0</v>
      </c>
    </row>
  </sheetData>
  <mergeCells count="1">
    <mergeCell ref="B1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1.FUNCIONES AGREGADAS</vt:lpstr>
      <vt:lpstr>2.FORMATOS DE CELDA</vt:lpstr>
      <vt:lpstr>3.FORMULAS Y FUNCIONES</vt:lpstr>
      <vt:lpstr>4.TABLA Y FILTROS</vt:lpstr>
      <vt:lpstr>BD_Empleados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Cornejo Lopera, Martin Raul Ricardo, PLUZ</cp:lastModifiedBy>
  <dcterms:created xsi:type="dcterms:W3CDTF">2020-07-08T12:48:31Z</dcterms:created>
  <dcterms:modified xsi:type="dcterms:W3CDTF">2025-11-06T19:32:01Z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2025-11-06T16:33:33Z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e99355ee-9b17-4b50-a6cd-9c2b3b1ed124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