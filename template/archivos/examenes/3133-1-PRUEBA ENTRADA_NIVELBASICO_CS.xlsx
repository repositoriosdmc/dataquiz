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428205301\Downloads\"/>
    </mc:Choice>
  </mc:AlternateContent>
  <xr:revisionPtr revIDLastSave="0" documentId="13_ncr:1_{11F0EFD6-32E7-4B62-9DD0-D6E19379B83E}" xr6:coauthVersionLast="47" xr6:coauthVersionMax="47" xr10:uidLastSave="{00000000-0000-0000-0000-000000000000}"/>
  <bookViews>
    <workbookView xWindow="28680" yWindow="-120" windowWidth="29040" windowHeight="15720" activeTab="2" xr2:uid="{91B73839-64DE-49A8-80A5-57CCB526A5A2}"/>
  </bookViews>
  <sheets>
    <sheet name="1.FUNCIONES AGREGADAS" sheetId="12" r:id="rId1"/>
    <sheet name="2.FORMATOS DE CELDA" sheetId="13" r:id="rId2"/>
    <sheet name="3.FORMULAS Y FUNCIONES" sheetId="11" r:id="rId3"/>
    <sheet name="4.TABLA Y FILTROS" sheetId="14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f" hidden="1">3</definedName>
    <definedName name="_f" hidden="1">3</definedName>
    <definedName name="_xlnm._FilterDatabase" localSheetId="0" hidden="1">'1.FUNCIONES AGREGADAS'!$A$14:$H$54</definedName>
    <definedName name="_xlnm._FilterDatabase" localSheetId="3" hidden="1">'4.TABLA Y FILTROS'!$A$5:$J$44</definedName>
    <definedName name="aa">1</definedName>
    <definedName name="accesorios">#REF!</definedName>
    <definedName name="anscount" localSheetId="0" hidden="1">2</definedName>
    <definedName name="anscount">1</definedName>
    <definedName name="BD_Empleados">'4.TABLA Y FILTROS'!$A$5:$J$44</definedName>
    <definedName name="carrera">[1]ESTADÍSTICAS!$E$15:$E$23</definedName>
    <definedName name="categoria">'[2]EJERCICIO 4'!$M$4:$M$52</definedName>
    <definedName name="CLIENTES">[3]PRACTICA!$A$3:$J$52</definedName>
    <definedName name="Cuotas">#REF!</definedName>
    <definedName name="DeMás">#REF!</definedName>
    <definedName name="departamento">'[1]EJERCICIO 3'!$D$4:$D$32</definedName>
    <definedName name="edad">[1]ESTADÍSTICAS!$D$15:$D$23</definedName>
    <definedName name="Edades" comment="Campo de edades de personas jóvenes">#REF!</definedName>
    <definedName name="Edades2" comment="Personas longevas">#REF!</definedName>
    <definedName name="Edades3" comment="Cuerpo de labores">#REF!</definedName>
    <definedName name="Enero">[4]Data2!$C$4:$C$8</definedName>
    <definedName name="Estadistica">[1]ESTADÍSTICAS!$C$4:$E$10</definedName>
    <definedName name="Febrero">[4]Data2!$D$4:$D$8</definedName>
    <definedName name="ff" hidden="1">2</definedName>
    <definedName name="limcount" localSheetId="0" hidden="1">3</definedName>
    <definedName name="limcount">1</definedName>
    <definedName name="LINE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pu" hidden="1">2</definedName>
    <definedName name="lplp" hidden="1">3</definedName>
    <definedName name="madera">#REF!</definedName>
    <definedName name="material">'[5]EJERCICIO 3'!$E$4:$E$32</definedName>
    <definedName name="Monto" comment="Monto de Ventas realizadas">[4]Teoría_Nombres!$I$39:$I$42</definedName>
    <definedName name="nombre">[1]ESTADÍSTICAS!$C$15:$C$23</definedName>
    <definedName name="PagoTotal">#REF!</definedName>
    <definedName name="pinturas">#REF!</definedName>
    <definedName name="PVENTA">#REF!</definedName>
    <definedName name="salario">'[5]EJERCICIO 3'!$F$4:$F$32</definedName>
    <definedName name="sencount">1</definedName>
    <definedName name="TABLA_A2">'[6]Datos A'!$A$41:$P$60</definedName>
    <definedName name="TABLA_B2">'[6]Datos B'!$A$28:$P$47</definedName>
    <definedName name="trabajo">'[5]EJERCICIO 3'!$D$4:$D$32</definedName>
    <definedName name="VENDEDORES">#REF!</definedName>
    <definedName name="Venta">#REF!</definedName>
    <definedName name="ventas">'[1]EJERCICIO 3'!$F$4:$F$32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3" i="11" l="1"/>
  <c r="F132" i="11"/>
  <c r="F131" i="11"/>
  <c r="F130" i="11"/>
  <c r="F129" i="11"/>
  <c r="F128" i="11"/>
  <c r="F127" i="11"/>
  <c r="F126" i="11"/>
  <c r="F125" i="11"/>
  <c r="F124" i="11"/>
  <c r="F123" i="11"/>
  <c r="F122" i="11"/>
  <c r="E123" i="11"/>
  <c r="E122" i="11"/>
  <c r="E133" i="11"/>
  <c r="E132" i="11"/>
  <c r="E131" i="11"/>
  <c r="E130" i="11"/>
  <c r="E129" i="11"/>
  <c r="E128" i="11"/>
  <c r="E127" i="11"/>
  <c r="E126" i="11"/>
  <c r="E125" i="11"/>
  <c r="E124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E51" i="11"/>
  <c r="E50" i="11"/>
  <c r="E58" i="11"/>
  <c r="E57" i="11"/>
  <c r="E56" i="11"/>
  <c r="E55" i="11"/>
  <c r="E54" i="11"/>
  <c r="E53" i="11"/>
  <c r="E52" i="11"/>
  <c r="E49" i="11"/>
  <c r="G38" i="11"/>
  <c r="G36" i="11"/>
  <c r="G35" i="11"/>
  <c r="G34" i="11"/>
  <c r="G33" i="11"/>
  <c r="G32" i="11"/>
  <c r="G31" i="11"/>
  <c r="G30" i="11"/>
  <c r="G29" i="11"/>
  <c r="F36" i="11"/>
  <c r="E36" i="11"/>
  <c r="D36" i="11"/>
  <c r="G26" i="11"/>
  <c r="F26" i="11"/>
  <c r="E26" i="11"/>
  <c r="D26" i="11"/>
  <c r="G25" i="11"/>
  <c r="G24" i="11"/>
  <c r="G23" i="11"/>
  <c r="G22" i="11"/>
  <c r="G21" i="11"/>
  <c r="G20" i="11"/>
  <c r="G19" i="11"/>
  <c r="G16" i="11"/>
  <c r="F16" i="11"/>
  <c r="E16" i="11"/>
  <c r="D16" i="11"/>
  <c r="G15" i="11"/>
  <c r="G14" i="11"/>
  <c r="G13" i="11"/>
  <c r="G12" i="11"/>
  <c r="G11" i="11"/>
  <c r="G10" i="11"/>
  <c r="Q10" i="12"/>
  <c r="Q9" i="12"/>
  <c r="Q8" i="12"/>
  <c r="Q7" i="12"/>
  <c r="Q6" i="12"/>
  <c r="H11" i="12"/>
  <c r="H10" i="12"/>
  <c r="H9" i="12"/>
  <c r="H8" i="12"/>
  <c r="H7" i="12"/>
  <c r="H6" i="12"/>
  <c r="D16" i="13"/>
  <c r="E16" i="13"/>
  <c r="D17" i="13"/>
  <c r="E17" i="13"/>
  <c r="C17" i="13"/>
  <c r="C1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Crispin</author>
  </authors>
  <commentList>
    <comment ref="G38" authorId="0" shapeId="0" xr:uid="{C9703FAD-4634-4C17-B3B3-6AFFFD52E053}">
      <text>
        <r>
          <rPr>
            <b/>
            <sz val="9"/>
            <color indexed="81"/>
            <rFont val="Tahoma"/>
            <family val="2"/>
          </rPr>
          <t>Ricardo Crispin:</t>
        </r>
        <r>
          <rPr>
            <sz val="9"/>
            <color indexed="81"/>
            <rFont val="Tahoma"/>
            <family val="2"/>
          </rPr>
          <t xml:space="preserve">
En esta celda va el total general.</t>
        </r>
      </text>
    </comment>
  </commentList>
</comments>
</file>

<file path=xl/sharedStrings.xml><?xml version="1.0" encoding="utf-8"?>
<sst xmlns="http://schemas.openxmlformats.org/spreadsheetml/2006/main" count="804" uniqueCount="331">
  <si>
    <t>Edad</t>
  </si>
  <si>
    <t>Femenino</t>
  </si>
  <si>
    <t>Masculino</t>
  </si>
  <si>
    <t>Nombre</t>
  </si>
  <si>
    <t>Juan</t>
  </si>
  <si>
    <t>Pedro</t>
  </si>
  <si>
    <t>Departamento</t>
  </si>
  <si>
    <t>Ventas</t>
  </si>
  <si>
    <t>Pablo</t>
  </si>
  <si>
    <t>PACIENTES COVID-19</t>
  </si>
  <si>
    <t>Hallar el total de edades de los trabajadores</t>
  </si>
  <si>
    <t>Se desea saber la temperatura más alta que tuvo un trabajador</t>
  </si>
  <si>
    <t>Cual es la temperatura promedio de los Casos Positivos Covid</t>
  </si>
  <si>
    <t>Se desea saber la temperatura más baja que tuvo un trabajador</t>
  </si>
  <si>
    <t>Promedio de Edades de las personas "Femenino"</t>
  </si>
  <si>
    <t>Se desea saber a cuantos pacientes se registró la edad</t>
  </si>
  <si>
    <t>Suma de Edades de las personas Masculinas y con Negativo al Covid</t>
  </si>
  <si>
    <t>Se desea saber cuantos pacientes se registraron</t>
  </si>
  <si>
    <t>Cuantas personas son dependientes y con prueba Rápida del Covid</t>
  </si>
  <si>
    <t>Hallar el promedio de edad de los trabajadores</t>
  </si>
  <si>
    <t>Nombre Paciente</t>
  </si>
  <si>
    <t>Genero</t>
  </si>
  <si>
    <t>Tipo de Trabajador</t>
  </si>
  <si>
    <t>T°</t>
  </si>
  <si>
    <t>Posibilidad de dar positivo al COVID- 19</t>
  </si>
  <si>
    <t>Prueba al Covid-19</t>
  </si>
  <si>
    <t>Tipo de Prueba</t>
  </si>
  <si>
    <t xml:space="preserve">Aliaga Frecia </t>
  </si>
  <si>
    <t>Dependiente</t>
  </si>
  <si>
    <t>Poco probable</t>
  </si>
  <si>
    <t>Positivo</t>
  </si>
  <si>
    <t>Molecular</t>
  </si>
  <si>
    <t xml:space="preserve">Alva Isabel </t>
  </si>
  <si>
    <t>Independiente</t>
  </si>
  <si>
    <t>Probable</t>
  </si>
  <si>
    <t>Negativo</t>
  </si>
  <si>
    <t xml:space="preserve">Alvarado Pardavé Antony </t>
  </si>
  <si>
    <t>Muy probable</t>
  </si>
  <si>
    <t xml:space="preserve">Bendezú Quesada Luis </t>
  </si>
  <si>
    <t>Rapida</t>
  </si>
  <si>
    <t xml:space="preserve">Bernal Rivera Nathaly Yanet </t>
  </si>
  <si>
    <t>Berrocal Diana</t>
  </si>
  <si>
    <t>Bueno Abarca Sharon</t>
  </si>
  <si>
    <t xml:space="preserve">Cacho Palacios Antonio </t>
  </si>
  <si>
    <t xml:space="preserve">Campos Lembi Oscar </t>
  </si>
  <si>
    <t>Carhuas Tinoco Marco Antonio</t>
  </si>
  <si>
    <t>Chong Tuanama Siay Lee</t>
  </si>
  <si>
    <t xml:space="preserve">Chugo Vanessa </t>
  </si>
  <si>
    <t>Contreras Tatiana</t>
  </si>
  <si>
    <t>Corrales Diaz Analí</t>
  </si>
  <si>
    <t>Cristobal Kelly</t>
  </si>
  <si>
    <t xml:space="preserve">Estacio Jimenez Joel </t>
  </si>
  <si>
    <t xml:space="preserve">Fernandez Janeth </t>
  </si>
  <si>
    <t xml:space="preserve">Huamán Layme Candy </t>
  </si>
  <si>
    <t>Ipanaqué Franco</t>
  </si>
  <si>
    <t xml:space="preserve">Jaime  Salazar Jean Pool </t>
  </si>
  <si>
    <t>Juarez Contreras Samuel</t>
  </si>
  <si>
    <t xml:space="preserve">Lara Taboada Juan Carlos </t>
  </si>
  <si>
    <t>Lucana Olayunca Alexander</t>
  </si>
  <si>
    <t xml:space="preserve">Mamani Cherres Renzo Augusto </t>
  </si>
  <si>
    <t>Marin Obert</t>
  </si>
  <si>
    <t xml:space="preserve">Meza Juan </t>
  </si>
  <si>
    <t xml:space="preserve">Meza Katthi </t>
  </si>
  <si>
    <t xml:space="preserve">Orbegozo EnriquezBryan </t>
  </si>
  <si>
    <t>Poma Soledad</t>
  </si>
  <si>
    <t xml:space="preserve">Purca Isasi </t>
  </si>
  <si>
    <t xml:space="preserve">Rodriguez Choccllo Jeanette </t>
  </si>
  <si>
    <t xml:space="preserve">Salazar Mina Isabel Cristina </t>
  </si>
  <si>
    <t>Silva Aparcana Richard</t>
  </si>
  <si>
    <t xml:space="preserve">Tarazona Martha </t>
  </si>
  <si>
    <t xml:space="preserve">Vilchez Paolo </t>
  </si>
  <si>
    <t xml:space="preserve">Yacopay Jorge Luis </t>
  </si>
  <si>
    <t>Realizar los siguientes cálculos:</t>
  </si>
  <si>
    <t>Enero</t>
  </si>
  <si>
    <t>Febrero</t>
  </si>
  <si>
    <t>Marzo</t>
  </si>
  <si>
    <t>Kevin</t>
  </si>
  <si>
    <t>Carlos</t>
  </si>
  <si>
    <t>Cristian</t>
  </si>
  <si>
    <t>Eduardo</t>
  </si>
  <si>
    <t>Francisco</t>
  </si>
  <si>
    <t>Moises</t>
  </si>
  <si>
    <t>TOTAL</t>
  </si>
  <si>
    <t>PROMEDIO</t>
  </si>
  <si>
    <t>Resultado de Ventas del Primer Trimestre</t>
  </si>
  <si>
    <t>Replicar los formatos a los datos siguiendo la imagen de referencia:</t>
  </si>
  <si>
    <t>Hallar el total de pacientes "Dependiente"</t>
  </si>
  <si>
    <t>EJERCICIO 1</t>
  </si>
  <si>
    <t>EJERCICIO 2</t>
  </si>
  <si>
    <t>Completar los Subtotales y Total general</t>
  </si>
  <si>
    <t>LICORES</t>
  </si>
  <si>
    <t>ENE</t>
  </si>
  <si>
    <t>FEB</t>
  </si>
  <si>
    <t>MAR</t>
  </si>
  <si>
    <t>R. CARTAVIO</t>
  </si>
  <si>
    <t>C. CRISTAL</t>
  </si>
  <si>
    <t>R. POMALCA</t>
  </si>
  <si>
    <t>C. PILSEN</t>
  </si>
  <si>
    <t>R. APLETON</t>
  </si>
  <si>
    <t>BLACK LABEL</t>
  </si>
  <si>
    <t>SUBTOTAL</t>
  </si>
  <si>
    <t>VERDURAS</t>
  </si>
  <si>
    <t>ZANAHORIA</t>
  </si>
  <si>
    <t>TOMATES</t>
  </si>
  <si>
    <t>LIMONES</t>
  </si>
  <si>
    <t>LECHUGAS</t>
  </si>
  <si>
    <t>CAMOTES</t>
  </si>
  <si>
    <t>PAPAS</t>
  </si>
  <si>
    <t>BROCOLI</t>
  </si>
  <si>
    <t>CARNES</t>
  </si>
  <si>
    <t>RES</t>
  </si>
  <si>
    <t>POLLO</t>
  </si>
  <si>
    <t>PESCADO</t>
  </si>
  <si>
    <t>PAVO</t>
  </si>
  <si>
    <t>CERDO</t>
  </si>
  <si>
    <t>PATO</t>
  </si>
  <si>
    <t>GALLINA</t>
  </si>
  <si>
    <t>TOTAL GENERAL</t>
  </si>
  <si>
    <t>EJERCICIO 3</t>
  </si>
  <si>
    <t>Tipo cambio:</t>
  </si>
  <si>
    <t>SOL=USD*TC</t>
  </si>
  <si>
    <t>Cliente</t>
  </si>
  <si>
    <t>Prestamo (USD$)</t>
  </si>
  <si>
    <t>Prestamo (S/.)</t>
  </si>
  <si>
    <t>Juan Perez</t>
  </si>
  <si>
    <t>Fulano Mengano</t>
  </si>
  <si>
    <t>Sutano Rojas</t>
  </si>
  <si>
    <t>Andres Garcia</t>
  </si>
  <si>
    <t>Patricio Lucas</t>
  </si>
  <si>
    <t>Francisco Donald</t>
  </si>
  <si>
    <t>Carlos Bunny</t>
  </si>
  <si>
    <t>Jose Benito</t>
  </si>
  <si>
    <t>Andy Perez</t>
  </si>
  <si>
    <t>Juan Alvarez</t>
  </si>
  <si>
    <t>FUNCIONES EXCEL (5 puntos)</t>
  </si>
  <si>
    <t>FORMATO DE CELDAS (2 puntos)</t>
  </si>
  <si>
    <t>** En la hoja va a encontrar  4 ejercicios de fórmulas y funciones</t>
  </si>
  <si>
    <t>NOMBRE DE PRODUCTO</t>
  </si>
  <si>
    <t>PROVEEDOR</t>
  </si>
  <si>
    <t>CATEGORÍA</t>
  </si>
  <si>
    <t>PAIS ORIGEN</t>
  </si>
  <si>
    <t>STOCK</t>
  </si>
  <si>
    <t xml:space="preserve">STATUS </t>
  </si>
  <si>
    <t xml:space="preserve">ACCION </t>
  </si>
  <si>
    <t>Tabla A</t>
  </si>
  <si>
    <t>TÉ DHARAMSALA</t>
  </si>
  <si>
    <t>EXOTIC LIQUIDS</t>
  </si>
  <si>
    <t>BEBIDAS</t>
  </si>
  <si>
    <t>KOREA</t>
  </si>
  <si>
    <t>STATUS</t>
  </si>
  <si>
    <t>CERVEZA TIBETANA BARLEY</t>
  </si>
  <si>
    <t>ALEMANIA</t>
  </si>
  <si>
    <t xml:space="preserve">Menor igual a 1000 </t>
  </si>
  <si>
    <t>Pedir</t>
  </si>
  <si>
    <t>SIROPE DE REGALIZ</t>
  </si>
  <si>
    <t>CONDIMENTOS</t>
  </si>
  <si>
    <t>PERU</t>
  </si>
  <si>
    <t>Entre 1000 y 2000</t>
  </si>
  <si>
    <t>Correcto</t>
  </si>
  <si>
    <t>ESPECIAS CAJUN DEL CHEF ANTON</t>
  </si>
  <si>
    <t>NEW ORLEANS CAJUN DELIGHTS</t>
  </si>
  <si>
    <t>CHILE</t>
  </si>
  <si>
    <t>MEZCLA GUMBO DEL CHEF ANTON</t>
  </si>
  <si>
    <t>MERMELADA DE GROSELLAS DE LA ABUELA</t>
  </si>
  <si>
    <t>GRANDMA KELLY'S HOMESTEAD</t>
  </si>
  <si>
    <t>PERAS SECAS ORGÁNICAS DEL TÍO BOB</t>
  </si>
  <si>
    <t>FRUTAS/VERDURAS</t>
  </si>
  <si>
    <t>ARGENTINA</t>
  </si>
  <si>
    <t>SALSA DE ARÁNDANOS NORTHWOODS</t>
  </si>
  <si>
    <t>EE.UU</t>
  </si>
  <si>
    <t>BUEY MISHI KOBE</t>
  </si>
  <si>
    <t>TOKYO TRADERS</t>
  </si>
  <si>
    <t>PEZ ESPADA</t>
  </si>
  <si>
    <t>PESCADO/MARISCO</t>
  </si>
  <si>
    <t>QUESO CABRALES</t>
  </si>
  <si>
    <t>COOPERATIVA DE QUESOS 'LAS CABRAS'</t>
  </si>
  <si>
    <t>LÁCTEOS</t>
  </si>
  <si>
    <t>QUESO MANCHEGO LA PASTORA</t>
  </si>
  <si>
    <t>ALGAS KONBU</t>
  </si>
  <si>
    <t>MAYUMI'S</t>
  </si>
  <si>
    <t>CUAJADA DE JUDÍAS</t>
  </si>
  <si>
    <t>CHINA</t>
  </si>
  <si>
    <t>SALSA DE SOJA BAJA EN SODIO</t>
  </si>
  <si>
    <t>POSTRE DE MERENGUE PAVLOVA</t>
  </si>
  <si>
    <t>PAVLOVA, LTD.</t>
  </si>
  <si>
    <t>REPOSTERÍA</t>
  </si>
  <si>
    <t>CORDERO ALICE SPRINGS</t>
  </si>
  <si>
    <t>LANGOSTINOS TIGRE CARNARVON</t>
  </si>
  <si>
    <t>PASTAS DE TÉ DE CHOCOLATE</t>
  </si>
  <si>
    <t>SPECIALTY BISCUITS, LTD.</t>
  </si>
  <si>
    <t>MERMELADA DE SIR RODNEY'S</t>
  </si>
  <si>
    <t>BOLLOS DE SIR RODNEY'S</t>
  </si>
  <si>
    <t>PAN DE CENTENO CRUJIENTE ESTILO GUSTAF'S</t>
  </si>
  <si>
    <t>PB KNÄCKEBRÖD AB</t>
  </si>
  <si>
    <t>GRANOS/CEREALES</t>
  </si>
  <si>
    <t>PAN FINO</t>
  </si>
  <si>
    <t>REFRESCO GUARANÁ FANTÁSTICA</t>
  </si>
  <si>
    <t>REFRESCOS AMERICANAS LTDA</t>
  </si>
  <si>
    <t>CREMA DE CHOCOLATE Y NUECES NUNUCA</t>
  </si>
  <si>
    <t>HELI SÜßWAREN GMBH &amp; CO. KG</t>
  </si>
  <si>
    <t>OSITOS DE GOMA GUMBÄR</t>
  </si>
  <si>
    <t>CHOCOLATE SCHOGGI</t>
  </si>
  <si>
    <t>COL FERMENTADA RÖSSLE</t>
  </si>
  <si>
    <t>PLUTZER LEBENSMITTELGROßMÄRKTE AG</t>
  </si>
  <si>
    <t>SALCHICHA THÜRINGER</t>
  </si>
  <si>
    <t>ARENQUE BLANCO DEL NOROESTE</t>
  </si>
  <si>
    <t>NORD-OST-FISCH HANDELSGESELLSCHAFT MBH</t>
  </si>
  <si>
    <t>QUESO GORGONZOLA TELINO</t>
  </si>
  <si>
    <t>FORMAGGI FORTINI S.R.L.</t>
  </si>
  <si>
    <t>QUESO MASCARPONE FABIOLI</t>
  </si>
  <si>
    <t>QUESO DE CABRA</t>
  </si>
  <si>
    <t>NORSKE MEIERIER</t>
  </si>
  <si>
    <t>CERVEZA SASQUATCH</t>
  </si>
  <si>
    <t>BIGFOOT BREWERIES</t>
  </si>
  <si>
    <t>CERVEZA NEGRA STEELEYE</t>
  </si>
  <si>
    <t>ESCABECHE DE ARENQUE</t>
  </si>
  <si>
    <t>SVENSK SJÖFÖDA AB</t>
  </si>
  <si>
    <t>SALMÓN AHUMADO GRAVAD</t>
  </si>
  <si>
    <t>VINO CÔTE DE BLAYE</t>
  </si>
  <si>
    <t>AUX JOYEUX ECCLÉSIASTIQUES</t>
  </si>
  <si>
    <t>LICOR VERDE CHARTREUSE</t>
  </si>
  <si>
    <t>CARNE DE CANGREJO DE BOSTON</t>
  </si>
  <si>
    <t>NEW ENGLAND SEAFOOD CANNERY</t>
  </si>
  <si>
    <t>CREMA DE ALMEJAS ESTILO NUEVA INGLATERRA</t>
  </si>
  <si>
    <t>TALLARINES DE SINGAPUR</t>
  </si>
  <si>
    <t>LEKA TRADING</t>
  </si>
  <si>
    <t>CAFÉ DE MALASIA</t>
  </si>
  <si>
    <t>AZÚCAR NEGRA MALACCA</t>
  </si>
  <si>
    <t>ARENQUE AHUMADO</t>
  </si>
  <si>
    <t>LYNGBYSILD</t>
  </si>
  <si>
    <t>FORMULAS Y FUNCIONES (8 puntos)</t>
  </si>
  <si>
    <t>EJERCICIO 4</t>
  </si>
  <si>
    <t>NOMBRE</t>
  </si>
  <si>
    <t>NOMBRE AFP</t>
  </si>
  <si>
    <t>SUELDO
IMPONIBLE</t>
  </si>
  <si>
    <t>% AFP</t>
  </si>
  <si>
    <t>TOTAL AFP</t>
  </si>
  <si>
    <t>NOMBRES AFP</t>
  </si>
  <si>
    <t>PORC.</t>
  </si>
  <si>
    <t>CARLOS TAPIA UGARTE</t>
  </si>
  <si>
    <t>CAPITAL</t>
  </si>
  <si>
    <t>SERGIO SILVA PINEDA</t>
  </si>
  <si>
    <t>CUPRUM</t>
  </si>
  <si>
    <t>PLANVITAL</t>
  </si>
  <si>
    <t>JOSE VENEGAS FRIAS</t>
  </si>
  <si>
    <t>HABITAT</t>
  </si>
  <si>
    <t>ROSA SOTO GONZALEZ</t>
  </si>
  <si>
    <t>CARMEN DUARTE RIOS</t>
  </si>
  <si>
    <t>PROVIDA</t>
  </si>
  <si>
    <t>RODRIGO PRIETO LOBOS</t>
  </si>
  <si>
    <t>JIMENA CAROCA TORRES</t>
  </si>
  <si>
    <t>EMILIO GARRIDO TORO</t>
  </si>
  <si>
    <t>EDUARDO RIVEROS ARANEDA</t>
  </si>
  <si>
    <t>LISET FERNANDEZ ULLOA</t>
  </si>
  <si>
    <t>CECILIA QUIROGA RETAMAL</t>
  </si>
  <si>
    <t>ALFREDO BURGOS CACERES</t>
  </si>
  <si>
    <t>TABLAS (5 puntos)</t>
  </si>
  <si>
    <t>ID_EMPLEADO</t>
  </si>
  <si>
    <t>Fecha de inicio</t>
  </si>
  <si>
    <t>Sector</t>
  </si>
  <si>
    <t>Sexo</t>
  </si>
  <si>
    <t>Turno</t>
  </si>
  <si>
    <t>Año</t>
  </si>
  <si>
    <t>Salario Base</t>
  </si>
  <si>
    <t>Dias de incapacidad</t>
  </si>
  <si>
    <t>EMP001</t>
  </si>
  <si>
    <t>Fabrica</t>
  </si>
  <si>
    <t>Hombre</t>
  </si>
  <si>
    <t>Tarde</t>
  </si>
  <si>
    <t>EMP002</t>
  </si>
  <si>
    <t>Vanesa</t>
  </si>
  <si>
    <t>Mujer</t>
  </si>
  <si>
    <t>Noche</t>
  </si>
  <si>
    <t>Administración</t>
  </si>
  <si>
    <t>EMP003</t>
  </si>
  <si>
    <t>Matias</t>
  </si>
  <si>
    <t>Producción</t>
  </si>
  <si>
    <t>EMP004</t>
  </si>
  <si>
    <t>Deposito</t>
  </si>
  <si>
    <t>EMP005</t>
  </si>
  <si>
    <t>EMP006</t>
  </si>
  <si>
    <t>Carina</t>
  </si>
  <si>
    <t>Oficina</t>
  </si>
  <si>
    <t>Mañana</t>
  </si>
  <si>
    <t>EMP007</t>
  </si>
  <si>
    <t>Contabilidad</t>
  </si>
  <si>
    <t>EMP008</t>
  </si>
  <si>
    <t>Andrea</t>
  </si>
  <si>
    <t>EMP009</t>
  </si>
  <si>
    <t>Dario</t>
  </si>
  <si>
    <t>EMP010</t>
  </si>
  <si>
    <t>EMP011</t>
  </si>
  <si>
    <t>EMP012</t>
  </si>
  <si>
    <t>Ruben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</si>
  <si>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</si>
  <si>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</si>
  <si>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</si>
  <si>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</si>
  <si>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</si>
  <si>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</si>
  <si>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</si>
  <si>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</si>
  <si>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</si>
  <si>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</si>
  <si>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</si>
  <si>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</si>
  <si>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</si>
  <si>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</si>
  <si>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</si>
  <si>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Claudia</t>
  </si>
  <si>
    <t>EMP028</t>
  </si>
  <si>
    <t>Recursos Humanos</t>
  </si>
  <si>
    <t>EMP029</t>
  </si>
  <si>
    <t>Laura</t>
  </si>
  <si>
    <t>EMP030</t>
  </si>
  <si>
    <t>EMP031</t>
  </si>
  <si>
    <t>EMP032</t>
  </si>
  <si>
    <t>EMP033</t>
  </si>
  <si>
    <t>EMP034</t>
  </si>
  <si>
    <t>Mercadeo</t>
  </si>
  <si>
    <t>EMP035</t>
  </si>
  <si>
    <t>EMP036</t>
  </si>
  <si>
    <t>Servicio al Cliente</t>
  </si>
  <si>
    <t>EMP037</t>
  </si>
  <si>
    <t>EMP038</t>
  </si>
  <si>
    <t>EMP039</t>
  </si>
  <si>
    <t>1) Convertir los datos a una Tabla y darle el nombre de "BD_Empleados"</t>
  </si>
  <si>
    <t>Ejercicios:</t>
  </si>
  <si>
    <t>2) Ordenar la tabla por Días de Incapacidad (mayor a menor) y Departamento (A a Z)</t>
  </si>
  <si>
    <t>3) Filtrar la tabla para obtener los empleados de turno "Tarde" con más de 3 (&lt; 3 ) días de incapacidad.</t>
  </si>
  <si>
    <t>Halle el monto de PRESTAMO EN MONEDA LOCAL en función al tipo de cambio de la celda D45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</si>
</sst>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$-409]#,##0.00"/>
    <numFmt numFmtId="165" formatCode="_ * #,##0_ ;_ * \-#,##0_ ;_ * &quot;-&quot;??_ ;_ @_ "/>
    <numFmt numFmtId="166" formatCode="&quot;S/.&quot;\ #,##0"/>
    <numFmt numFmtId="167" formatCode="_-&quot;S/&quot;* #,##0.00_-;\-&quot;S/&quot;* #,##0.00_-;_-&quot;S/&quot;* &quot;-&quot;??_-;_-@_-"/>
    <numFmt numFmtId="168" formatCode="_-[$$-80A]* #,##0.00_-;\-[$$-80A]* #,##0.00_-;_-[$$-80A]* &quot;-&quot;??_-;_-@_-"/>
    <numFmt numFmtId="170" formatCode="&quot;S/&quot;\ #,##0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u/>
      <sz val="16"/>
      <color rgb="FFFF0000"/>
      <name val="Montserrat"/>
    </font>
    <font>
      <sz val="11"/>
      <color theme="1"/>
      <name val="Montserrat"/>
    </font>
    <font>
      <b/>
      <u/>
      <sz val="24"/>
      <color theme="0"/>
      <name val="Montserrat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u/>
      <sz val="12"/>
      <color theme="5"/>
      <name val="Montserrat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1"/>
      <color rgb="FF7030A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MS Sans Serif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color theme="1" tint="0.249977111117893"/>
      <name val="Calibri"/>
      <family val="2"/>
      <scheme val="minor"/>
    </font>
    <font>
      <b/>
      <sz val="9"/>
      <color indexed="9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8"/>
      <color theme="2" tint="-0.749992370372631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b/>
      <sz val="8"/>
      <color theme="0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5D739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indexed="6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indexed="64"/>
      </left>
      <right style="thin">
        <color theme="4"/>
      </right>
      <top/>
      <bottom style="thin">
        <color indexed="64"/>
      </bottom>
      <diagonal/>
    </border>
    <border>
      <left/>
      <right style="thin">
        <color theme="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293F"/>
      </left>
      <right style="thin">
        <color rgb="FF00293F"/>
      </right>
      <top style="thin">
        <color rgb="FF00293F"/>
      </top>
      <bottom style="thin">
        <color rgb="FF00293F"/>
      </bottom>
      <diagonal/>
    </border>
    <border>
      <left/>
      <right/>
      <top/>
      <bottom style="thick">
        <color theme="8" tint="0.59999389629810485"/>
      </bottom>
      <diagonal/>
    </border>
  </borders>
  <cellStyleXfs count="12">
    <xf numFmtId="0" fontId="0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1" applyNumberFormat="0" applyFill="0" applyAlignment="0" applyProtection="0"/>
    <xf numFmtId="0" fontId="8" fillId="0" borderId="0"/>
    <xf numFmtId="43" fontId="5" fillId="0" borderId="0" applyFont="0" applyFill="0" applyBorder="0" applyAlignment="0" applyProtection="0"/>
    <xf numFmtId="0" fontId="17" fillId="8" borderId="5" applyNumberFormat="0" applyAlignment="0" applyProtection="0"/>
    <xf numFmtId="0" fontId="19" fillId="0" borderId="0"/>
    <xf numFmtId="43" fontId="19" fillId="0" borderId="0" applyFont="0" applyFill="0" applyBorder="0" applyAlignment="0" applyProtection="0"/>
    <xf numFmtId="0" fontId="30" fillId="0" borderId="0"/>
    <xf numFmtId="0" fontId="19" fillId="0" borderId="0"/>
    <xf numFmtId="167" fontId="5" fillId="0" borderId="0" applyFont="0" applyFill="0" applyBorder="0" applyAlignment="0" applyProtection="0"/>
  </cellStyleXfs>
  <cellXfs count="100">
    <xf numFmtId="0" fontId="0" fillId="0" borderId="0" xfId="0"/>
    <xf numFmtId="0" fontId="1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" fillId="5" borderId="0" xfId="1" applyFont="1" applyFill="1"/>
    <xf numFmtId="0" fontId="3" fillId="5" borderId="0" xfId="1" applyFont="1" applyFill="1"/>
    <xf numFmtId="0" fontId="3" fillId="6" borderId="0" xfId="1" applyFont="1" applyFill="1"/>
    <xf numFmtId="0" fontId="1" fillId="5" borderId="0" xfId="1" applyFill="1"/>
    <xf numFmtId="0" fontId="14" fillId="7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2" fontId="7" fillId="3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indent="1"/>
    </xf>
    <xf numFmtId="0" fontId="18" fillId="0" borderId="0" xfId="1" applyFont="1"/>
    <xf numFmtId="0" fontId="20" fillId="5" borderId="0" xfId="7" applyFont="1" applyFill="1" applyAlignment="1" applyProtection="1">
      <alignment horizontal="center"/>
      <protection locked="0"/>
    </xf>
    <xf numFmtId="0" fontId="21" fillId="5" borderId="0" xfId="7" applyFont="1" applyFill="1" applyProtection="1">
      <protection locked="0"/>
    </xf>
    <xf numFmtId="0" fontId="22" fillId="0" borderId="0" xfId="7" applyFont="1"/>
    <xf numFmtId="0" fontId="19" fillId="0" borderId="0" xfId="7"/>
    <xf numFmtId="0" fontId="23" fillId="0" borderId="0" xfId="7" applyFont="1"/>
    <xf numFmtId="0" fontId="23" fillId="0" borderId="0" xfId="7" applyFont="1" applyAlignment="1">
      <alignment horizontal="center"/>
    </xf>
    <xf numFmtId="4" fontId="19" fillId="0" borderId="0" xfId="7" applyNumberFormat="1"/>
    <xf numFmtId="2" fontId="23" fillId="12" borderId="2" xfId="7" applyNumberFormat="1" applyFont="1" applyFill="1" applyBorder="1"/>
    <xf numFmtId="0" fontId="25" fillId="0" borderId="0" xfId="0" applyFont="1"/>
    <xf numFmtId="0" fontId="27" fillId="0" borderId="9" xfId="7" applyFont="1" applyBorder="1"/>
    <xf numFmtId="43" fontId="27" fillId="0" borderId="12" xfId="8" applyFont="1" applyBorder="1"/>
    <xf numFmtId="164" fontId="27" fillId="0" borderId="13" xfId="7" applyNumberFormat="1" applyFont="1" applyBorder="1"/>
    <xf numFmtId="0" fontId="27" fillId="0" borderId="14" xfId="7" applyFont="1" applyBorder="1"/>
    <xf numFmtId="43" fontId="27" fillId="0" borderId="15" xfId="8" applyFont="1" applyBorder="1"/>
    <xf numFmtId="0" fontId="7" fillId="0" borderId="0" xfId="0" applyFont="1"/>
    <xf numFmtId="0" fontId="8" fillId="0" borderId="0" xfId="4"/>
    <xf numFmtId="0" fontId="23" fillId="0" borderId="17" xfId="7" applyFont="1" applyBorder="1" applyAlignment="1">
      <alignment horizontal="center" vertical="center" wrapText="1"/>
    </xf>
    <xf numFmtId="10" fontId="19" fillId="0" borderId="17" xfId="2" applyNumberFormat="1" applyFont="1" applyBorder="1"/>
    <xf numFmtId="0" fontId="32" fillId="5" borderId="16" xfId="9" applyFont="1" applyFill="1" applyBorder="1" applyAlignment="1">
      <alignment horizontal="center" wrapText="1"/>
    </xf>
    <xf numFmtId="165" fontId="32" fillId="5" borderId="16" xfId="5" applyNumberFormat="1" applyFont="1" applyFill="1" applyBorder="1" applyAlignment="1">
      <alignment horizontal="center" wrapText="1"/>
    </xf>
    <xf numFmtId="0" fontId="33" fillId="7" borderId="16" xfId="9" applyFont="1" applyFill="1" applyBorder="1" applyAlignment="1">
      <alignment horizontal="center" wrapText="1"/>
    </xf>
    <xf numFmtId="165" fontId="33" fillId="7" borderId="16" xfId="5" applyNumberFormat="1" applyFont="1" applyFill="1" applyBorder="1" applyAlignment="1">
      <alignment horizontal="center" wrapText="1"/>
    </xf>
    <xf numFmtId="0" fontId="34" fillId="0" borderId="16" xfId="9" applyFont="1" applyBorder="1" applyAlignment="1">
      <alignment horizontal="left"/>
    </xf>
    <xf numFmtId="165" fontId="34" fillId="0" borderId="16" xfId="5" applyNumberFormat="1" applyFont="1" applyFill="1" applyBorder="1" applyAlignment="1">
      <alignment horizontal="right"/>
    </xf>
    <xf numFmtId="0" fontId="34" fillId="0" borderId="16" xfId="9" applyFont="1" applyBorder="1" applyAlignment="1">
      <alignment horizontal="left" wrapText="1"/>
    </xf>
    <xf numFmtId="0" fontId="4" fillId="5" borderId="0" xfId="1" applyFont="1" applyFill="1" applyAlignment="1">
      <alignment vertical="center"/>
    </xf>
    <xf numFmtId="0" fontId="35" fillId="9" borderId="0" xfId="7" applyFont="1" applyFill="1" applyAlignment="1">
      <alignment horizontal="center"/>
    </xf>
    <xf numFmtId="0" fontId="35" fillId="9" borderId="2" xfId="7" applyFont="1" applyFill="1" applyBorder="1" applyAlignment="1">
      <alignment horizontal="center"/>
    </xf>
    <xf numFmtId="0" fontId="36" fillId="0" borderId="2" xfId="7" applyFont="1" applyBorder="1" applyAlignment="1">
      <alignment horizontal="left"/>
    </xf>
    <xf numFmtId="4" fontId="36" fillId="0" borderId="2" xfId="7" applyNumberFormat="1" applyFont="1" applyBorder="1"/>
    <xf numFmtId="4" fontId="36" fillId="10" borderId="2" xfId="7" applyNumberFormat="1" applyFont="1" applyFill="1" applyBorder="1"/>
    <xf numFmtId="0" fontId="31" fillId="11" borderId="2" xfId="7" applyFont="1" applyFill="1" applyBorder="1" applyAlignment="1">
      <alignment horizontal="center"/>
    </xf>
    <xf numFmtId="4" fontId="37" fillId="11" borderId="2" xfId="7" applyNumberFormat="1" applyFont="1" applyFill="1" applyBorder="1"/>
    <xf numFmtId="0" fontId="35" fillId="9" borderId="0" xfId="7" applyFont="1" applyFill="1" applyAlignment="1">
      <alignment horizontal="left"/>
    </xf>
    <xf numFmtId="0" fontId="35" fillId="9" borderId="0" xfId="7" applyFont="1" applyFill="1"/>
    <xf numFmtId="0" fontId="36" fillId="0" borderId="2" xfId="7" applyFont="1" applyBorder="1"/>
    <xf numFmtId="0" fontId="31" fillId="9" borderId="2" xfId="7" applyFont="1" applyFill="1" applyBorder="1"/>
    <xf numFmtId="4" fontId="31" fillId="9" borderId="2" xfId="7" applyNumberFormat="1" applyFont="1" applyFill="1" applyBorder="1"/>
    <xf numFmtId="0" fontId="34" fillId="0" borderId="16" xfId="9" applyFont="1" applyBorder="1" applyAlignment="1">
      <alignment horizontal="left" vertical="top" wrapText="1"/>
    </xf>
    <xf numFmtId="0" fontId="23" fillId="0" borderId="17" xfId="7" applyFont="1" applyBorder="1" applyAlignment="1">
      <alignment horizontal="center" vertical="center"/>
    </xf>
    <xf numFmtId="10" fontId="19" fillId="0" borderId="17" xfId="2" applyNumberFormat="1" applyFont="1" applyBorder="1" applyAlignment="1"/>
    <xf numFmtId="2" fontId="38" fillId="2" borderId="16" xfId="9" applyNumberFormat="1" applyFont="1" applyFill="1" applyBorder="1" applyAlignment="1">
      <alignment horizontal="right"/>
    </xf>
    <xf numFmtId="0" fontId="38" fillId="2" borderId="16" xfId="5" applyNumberFormat="1" applyFont="1" applyFill="1" applyBorder="1" applyAlignment="1"/>
    <xf numFmtId="0" fontId="24" fillId="14" borderId="16" xfId="7" applyFont="1" applyFill="1" applyBorder="1" applyAlignment="1">
      <alignment horizontal="center" vertical="center" wrapText="1"/>
    </xf>
    <xf numFmtId="10" fontId="39" fillId="0" borderId="16" xfId="2" applyNumberFormat="1" applyFont="1" applyBorder="1"/>
    <xf numFmtId="0" fontId="5" fillId="0" borderId="17" xfId="7" applyFont="1" applyBorder="1"/>
    <xf numFmtId="0" fontId="24" fillId="5" borderId="16" xfId="7" applyFont="1" applyFill="1" applyBorder="1" applyAlignment="1">
      <alignment horizontal="center" vertical="center" wrapText="1"/>
    </xf>
    <xf numFmtId="0" fontId="40" fillId="0" borderId="16" xfId="7" applyFont="1" applyBorder="1"/>
    <xf numFmtId="166" fontId="40" fillId="0" borderId="16" xfId="7" applyNumberFormat="1" applyFont="1" applyBorder="1"/>
    <xf numFmtId="0" fontId="41" fillId="0" borderId="16" xfId="7" applyFont="1" applyBorder="1"/>
    <xf numFmtId="14" fontId="43" fillId="0" borderId="19" xfId="0" applyNumberFormat="1" applyFont="1" applyBorder="1" applyAlignment="1">
      <alignment horizontal="center"/>
    </xf>
    <xf numFmtId="168" fontId="43" fillId="0" borderId="19" xfId="11" applyNumberFormat="1" applyFont="1" applyBorder="1" applyAlignment="1">
      <alignment horizontal="center"/>
    </xf>
    <xf numFmtId="0" fontId="43" fillId="0" borderId="19" xfId="0" applyFont="1" applyBorder="1" applyAlignment="1">
      <alignment horizontal="center"/>
    </xf>
    <xf numFmtId="0" fontId="43" fillId="0" borderId="19" xfId="5" applyNumberFormat="1" applyFont="1" applyBorder="1" applyAlignment="1">
      <alignment horizontal="center"/>
    </xf>
    <xf numFmtId="167" fontId="43" fillId="0" borderId="19" xfId="11" applyFont="1" applyBorder="1" applyAlignment="1">
      <alignment horizontal="center"/>
    </xf>
    <xf numFmtId="0" fontId="44" fillId="0" borderId="19" xfId="10" applyFont="1" applyBorder="1" applyAlignment="1">
      <alignment horizontal="center"/>
    </xf>
    <xf numFmtId="0" fontId="42" fillId="15" borderId="18" xfId="0" applyFont="1" applyFill="1" applyBorder="1" applyAlignment="1">
      <alignment horizontal="center" vertical="center" wrapText="1"/>
    </xf>
    <xf numFmtId="14" fontId="42" fillId="15" borderId="18" xfId="0" applyNumberFormat="1" applyFont="1" applyFill="1" applyBorder="1" applyAlignment="1">
      <alignment horizontal="center" vertical="center" wrapText="1"/>
    </xf>
    <xf numFmtId="0" fontId="42" fillId="15" borderId="18" xfId="10" applyFont="1" applyFill="1" applyBorder="1" applyAlignment="1">
      <alignment horizontal="center" vertical="center" wrapText="1"/>
    </xf>
    <xf numFmtId="0" fontId="17" fillId="8" borderId="5" xfId="6" applyAlignment="1">
      <alignment horizontal="center" vertical="center" wrapText="1"/>
    </xf>
    <xf numFmtId="0" fontId="6" fillId="0" borderId="1" xfId="3" applyAlignment="1">
      <alignment horizontal="center"/>
    </xf>
    <xf numFmtId="0" fontId="4" fillId="5" borderId="0" xfId="1" applyFont="1" applyFill="1" applyAlignment="1">
      <alignment horizontal="center" vertical="center"/>
    </xf>
    <xf numFmtId="0" fontId="26" fillId="13" borderId="6" xfId="7" applyFont="1" applyFill="1" applyBorder="1" applyAlignment="1">
      <alignment horizontal="center" vertical="center"/>
    </xf>
    <xf numFmtId="0" fontId="26" fillId="13" borderId="9" xfId="7" applyFont="1" applyFill="1" applyBorder="1" applyAlignment="1">
      <alignment horizontal="center" vertical="center"/>
    </xf>
    <xf numFmtId="0" fontId="26" fillId="13" borderId="7" xfId="7" applyFont="1" applyFill="1" applyBorder="1" applyAlignment="1">
      <alignment horizontal="center" vertical="center" wrapText="1"/>
    </xf>
    <xf numFmtId="0" fontId="26" fillId="13" borderId="10" xfId="7" applyFont="1" applyFill="1" applyBorder="1" applyAlignment="1">
      <alignment horizontal="center" vertical="center" wrapText="1"/>
    </xf>
    <xf numFmtId="0" fontId="26" fillId="13" borderId="8" xfId="7" applyFont="1" applyFill="1" applyBorder="1" applyAlignment="1">
      <alignment horizontal="center" vertical="center" wrapText="1"/>
    </xf>
    <xf numFmtId="0" fontId="26" fillId="13" borderId="11" xfId="7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left" vertical="center" indent="12"/>
    </xf>
    <xf numFmtId="0" fontId="0" fillId="0" borderId="2" xfId="0" applyBorder="1"/>
    <xf numFmtId="170" fontId="0" fillId="0" borderId="2" xfId="0" applyNumberFormat="1" applyBorder="1"/>
    <xf numFmtId="0" fontId="46" fillId="16" borderId="2" xfId="0" applyFont="1" applyFill="1" applyBorder="1"/>
    <xf numFmtId="0" fontId="0" fillId="2" borderId="2" xfId="0" applyFill="1" applyBorder="1"/>
    <xf numFmtId="170" fontId="0" fillId="2" borderId="2" xfId="0" applyNumberFormat="1" applyFill="1" applyBorder="1"/>
    <xf numFmtId="0" fontId="45" fillId="17" borderId="2" xfId="0" applyFont="1" applyFill="1" applyBorder="1" applyAlignment="1">
      <alignment horizontal="center"/>
    </xf>
    <xf numFmtId="0" fontId="0" fillId="0" borderId="20" xfId="0" applyFill="1" applyBorder="1"/>
    <xf numFmtId="0" fontId="47" fillId="0" borderId="20" xfId="0" applyFont="1" applyFill="1" applyBorder="1"/>
    <xf numFmtId="170" fontId="39" fillId="0" borderId="16" xfId="2" applyNumberFormat="1" applyFont="1" applyBorder="1"/>
  </cellXfs>
  <cellStyles count="12">
    <cellStyle name="Encabezado 1" xfId="3" builtinId="16"/>
    <cellStyle name="Millares" xfId="5" builtinId="3"/>
    <cellStyle name="Millares 2" xfId="8" xr:uid="{AC59BD83-FB33-49CC-B209-9C5CC381EE94}"/>
    <cellStyle name="Moneda 2" xfId="11" xr:uid="{70BF2477-CEBB-4575-B7E3-21DE215F74F0}"/>
    <cellStyle name="Normal" xfId="0" builtinId="0"/>
    <cellStyle name="Normal 2" xfId="1" xr:uid="{0C80CC18-F3AE-49FE-87E6-DCDB063E85E0}"/>
    <cellStyle name="Normal 2 3" xfId="7" xr:uid="{4118E221-0461-4649-BC09-A611AB4643F7}"/>
    <cellStyle name="Normal 4" xfId="4" xr:uid="{9832F0C7-6043-4672-AC02-2B7C6F3A6711}"/>
    <cellStyle name="Normal_Hoja1" xfId="9" xr:uid="{0714AE51-28DA-47F8-9226-39CF1B8C5E4C}"/>
    <cellStyle name="Porcentaje" xfId="2" builtinId="5"/>
    <cellStyle name="Salida" xfId="6" builtinId="21"/>
    <cellStyle name="Standard 2" xfId="10" xr:uid="{587B0E00-42DE-4D73-85DE-43D0C8839558}"/>
  </cellStyles>
  <dxfs count="1">
    <dxf>
      <fill>
        <patternFill>
          <bgColor theme="4" tint="-0.24994659260841701"/>
        </patternFill>
      </fill>
    </dxf>
  </dxfs>
  <tableStyles count="0" defaultTableStyle="TableStyleMedium2" defaultPivotStyle="PivotStyleLight16"/>
  <colors>
    <mruColors>
      <color rgb="FF5D7391"/>
      <color rgb="FF69809F"/>
      <color rgb="FF009CDE"/>
      <color rgb="FF0117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553641</xdr:colOff>
      <xdr:row>5</xdr:row>
      <xdr:rowOff>11907</xdr:rowOff>
    </xdr:from>
    <xdr:to>
      <xdr:col>11</xdr:col>
      <xdr:colOff>17971</xdr:colOff>
      <xdr:row>18</xdr:row>
      <xdr:rowOff>43335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B5EE22-F2F9-81BA-B180-1B9ADAEC1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3641" y="1220391"/>
          <a:ext cx="4040140" cy="251650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78827</xdr:colOff>
      <xdr:row>60</xdr:row>
      <xdr:rowOff>59121</xdr:rowOff>
    </xdr:from>
    <xdr:to>
      <xdr:col>24</xdr:col>
      <xdr:colOff>181751</xdr:colOff>
      <xdr:row>64</xdr:row>
      <xdr:rowOff>78827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1A6AA9A1-8989-4C6E-A764-22B462EDF111}"/>
            </a:ext>
          </a:extLst>
        </xdr:cNvPr>
        <xdr:cNvSpPr txBox="1"/>
      </xdr:nvSpPr>
      <xdr:spPr>
        <a:xfrm>
          <a:off x="78827" y="11929242"/>
          <a:ext cx="13740096" cy="781706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1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Completar los celdas en blanco de acuerdo a las siguientes preguntas: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a) </a:t>
          </a: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Usar la funcion SI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para completar la columna de STATUS segun la información de la tabla 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Para el STATUS "pedir" utilizar una fórmula que determine la cantidad a pedir hasta alcanzar el stock minimo ( 2000 unidades) en la columna ACCIÓN. En caso no corresponda dejar la celda vacía.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 baseline="0">
            <a:solidFill>
              <a:schemeClr val="bg1"/>
            </a:solidFill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0</xdr:colOff>
      <xdr:row>114</xdr:row>
      <xdr:rowOff>85398</xdr:rowOff>
    </xdr:from>
    <xdr:to>
      <xdr:col>13</xdr:col>
      <xdr:colOff>602447</xdr:colOff>
      <xdr:row>118</xdr:row>
      <xdr:rowOff>118242</xdr:rowOff>
    </xdr:to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id="{72A3107E-840B-423F-9E0D-95C45645DCD5}"/>
            </a:ext>
          </a:extLst>
        </xdr:cNvPr>
        <xdr:cNvSpPr txBox="1"/>
      </xdr:nvSpPr>
      <xdr:spPr>
        <a:xfrm>
          <a:off x="0" y="26177329"/>
          <a:ext cx="11848516" cy="794844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a) Usar la función BUSCARV para completar la columna de % AFP de la lista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de PORC.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Multiplicar la columna SUELDO IMPONIBLE y % AFP para hallar la columna TOTAL AFP.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c) Usar un formato condicional en la columna TOTAL AFP  para los montos entre S/. 30,000 y S/. 55,000,rellenar de color azul los montos seleccionados.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WE%20CONSULTING/EXCEL%20INTERMEDIO/SESION%201/SESI&#211;N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WE%20CONSULTING/EXCEL%20INTERMEDIO/DICIEMBRE%202020/SESION%201/SESI&#211;N%201-RICARDO%20CRISPI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4/SESION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2/SESION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AURUS%20PERU/CURSO%20EXCEL%20EMPRESARIAL/CURSO%20AGOSTO2020/SESION%204/SESION%204%20-%20FUNCIONES%20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elis/Documents/Melissa%20Cossio/Estudios/3.%20Cursos%20TI/Cursos%20de%20Excel/Excel%20PUCP/Sesi&#243;n%202/Ejercicios%20Sesi&#243;n%20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>
        <row r="4">
          <cell r="C4">
            <v>78</v>
          </cell>
          <cell r="D4">
            <v>65</v>
          </cell>
          <cell r="E4">
            <v>9</v>
          </cell>
        </row>
        <row r="5">
          <cell r="C5">
            <v>76</v>
          </cell>
          <cell r="D5">
            <v>97</v>
          </cell>
          <cell r="E5">
            <v>48</v>
          </cell>
        </row>
        <row r="6">
          <cell r="C6">
            <v>79</v>
          </cell>
          <cell r="D6">
            <v>39</v>
          </cell>
          <cell r="E6">
            <v>89</v>
          </cell>
        </row>
        <row r="7">
          <cell r="C7">
            <v>46</v>
          </cell>
          <cell r="D7">
            <v>94</v>
          </cell>
          <cell r="E7">
            <v>59</v>
          </cell>
        </row>
        <row r="8">
          <cell r="C8">
            <v>84</v>
          </cell>
          <cell r="D8">
            <v>99</v>
          </cell>
          <cell r="E8">
            <v>60</v>
          </cell>
        </row>
        <row r="9">
          <cell r="C9">
            <v>62</v>
          </cell>
          <cell r="D9">
            <v>88</v>
          </cell>
          <cell r="E9">
            <v>5</v>
          </cell>
        </row>
        <row r="10">
          <cell r="C10">
            <v>89</v>
          </cell>
          <cell r="D10">
            <v>31</v>
          </cell>
          <cell r="E10">
            <v>16</v>
          </cell>
        </row>
        <row r="15">
          <cell r="C15" t="str">
            <v>Larry</v>
          </cell>
          <cell r="D15">
            <v>24</v>
          </cell>
          <cell r="E15" t="str">
            <v>Administración</v>
          </cell>
        </row>
        <row r="16">
          <cell r="C16" t="str">
            <v>Robin</v>
          </cell>
          <cell r="D16">
            <v>20</v>
          </cell>
          <cell r="E16" t="str">
            <v>Economía</v>
          </cell>
        </row>
        <row r="17">
          <cell r="C17" t="str">
            <v>Toni</v>
          </cell>
          <cell r="D17">
            <v>26</v>
          </cell>
          <cell r="E17" t="str">
            <v>Educación</v>
          </cell>
        </row>
        <row r="18">
          <cell r="C18" t="str">
            <v>Jeremy</v>
          </cell>
          <cell r="D18">
            <v>34</v>
          </cell>
          <cell r="E18" t="str">
            <v>Contabilidad</v>
          </cell>
        </row>
        <row r="19">
          <cell r="C19" t="str">
            <v>Sam</v>
          </cell>
          <cell r="D19">
            <v>30</v>
          </cell>
          <cell r="E19" t="str">
            <v>Administración</v>
          </cell>
        </row>
        <row r="20">
          <cell r="C20" t="str">
            <v>Ursula</v>
          </cell>
          <cell r="D20">
            <v>20</v>
          </cell>
          <cell r="E20" t="str">
            <v>Ciencias Políticas</v>
          </cell>
        </row>
        <row r="21">
          <cell r="C21" t="str">
            <v>Robin</v>
          </cell>
          <cell r="D21">
            <v>29</v>
          </cell>
          <cell r="E21" t="str">
            <v>Economía</v>
          </cell>
        </row>
        <row r="22">
          <cell r="C22" t="str">
            <v>Jason</v>
          </cell>
          <cell r="D22">
            <v>29</v>
          </cell>
          <cell r="E22" t="str">
            <v>Ingeniería</v>
          </cell>
        </row>
        <row r="23">
          <cell r="C23" t="str">
            <v>Sheryl</v>
          </cell>
          <cell r="D23">
            <v>25</v>
          </cell>
          <cell r="E23" t="str">
            <v>Economía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>
        <row r="4">
          <cell r="D4" t="str">
            <v>Contabilidad</v>
          </cell>
          <cell r="F4">
            <v>21887.95</v>
          </cell>
        </row>
        <row r="5">
          <cell r="D5" t="str">
            <v>Ingeniería</v>
          </cell>
          <cell r="F5">
            <v>23035.88</v>
          </cell>
        </row>
        <row r="6">
          <cell r="D6" t="str">
            <v>Ingeniería</v>
          </cell>
          <cell r="F6">
            <v>23035.88</v>
          </cell>
        </row>
        <row r="7">
          <cell r="D7" t="str">
            <v>Ingeniería</v>
          </cell>
          <cell r="F7">
            <v>34002.050000000003</v>
          </cell>
        </row>
        <row r="8">
          <cell r="D8" t="str">
            <v>Mercado</v>
          </cell>
          <cell r="F8">
            <v>31913.88</v>
          </cell>
        </row>
        <row r="9">
          <cell r="D9" t="str">
            <v>Contabilidad</v>
          </cell>
          <cell r="F9">
            <v>26101.439999999999</v>
          </cell>
        </row>
        <row r="10">
          <cell r="D10" t="str">
            <v>Administración</v>
          </cell>
          <cell r="F10">
            <v>23212.32</v>
          </cell>
        </row>
        <row r="11">
          <cell r="D11" t="str">
            <v>Administración</v>
          </cell>
          <cell r="F11">
            <v>23212.32</v>
          </cell>
        </row>
        <row r="12">
          <cell r="D12" t="str">
            <v>Diseño</v>
          </cell>
          <cell r="F12">
            <v>23239.439999999999</v>
          </cell>
        </row>
        <row r="13">
          <cell r="D13" t="str">
            <v>Diseño</v>
          </cell>
          <cell r="F13">
            <v>23239.439999999999</v>
          </cell>
        </row>
        <row r="14">
          <cell r="D14" t="str">
            <v>Ingeniería</v>
          </cell>
          <cell r="F14">
            <v>35480.400000000001</v>
          </cell>
        </row>
        <row r="15">
          <cell r="D15" t="str">
            <v>Ingeniería</v>
          </cell>
          <cell r="F15">
            <v>21303.599999999999</v>
          </cell>
        </row>
        <row r="16">
          <cell r="D16" t="str">
            <v>Mercado</v>
          </cell>
          <cell r="F16">
            <v>35989.199999999997</v>
          </cell>
        </row>
        <row r="17">
          <cell r="D17" t="str">
            <v>Mercado</v>
          </cell>
          <cell r="F17">
            <v>33301.440000000002</v>
          </cell>
        </row>
        <row r="18">
          <cell r="D18" t="str">
            <v>I + D</v>
          </cell>
          <cell r="F18">
            <v>37895.519999999997</v>
          </cell>
        </row>
        <row r="19">
          <cell r="D19" t="str">
            <v>Administración</v>
          </cell>
          <cell r="F19">
            <v>24179.5</v>
          </cell>
        </row>
        <row r="20">
          <cell r="D20" t="str">
            <v>Diseño</v>
          </cell>
          <cell r="F20">
            <v>28859.25</v>
          </cell>
        </row>
        <row r="21">
          <cell r="D21" t="str">
            <v>Mercado</v>
          </cell>
          <cell r="F21">
            <v>37488.75</v>
          </cell>
        </row>
        <row r="22">
          <cell r="D22" t="str">
            <v>Mercado</v>
          </cell>
          <cell r="F22">
            <v>34689</v>
          </cell>
        </row>
        <row r="23">
          <cell r="D23" t="str">
            <v>Administración</v>
          </cell>
          <cell r="F23">
            <v>25146.68</v>
          </cell>
        </row>
        <row r="24">
          <cell r="D24" t="str">
            <v>Diseño</v>
          </cell>
          <cell r="F24">
            <v>25176.06</v>
          </cell>
        </row>
        <row r="25">
          <cell r="D25" t="str">
            <v>Diseño</v>
          </cell>
          <cell r="F25">
            <v>30013.62</v>
          </cell>
        </row>
        <row r="26">
          <cell r="D26" t="str">
            <v>Ingeniería</v>
          </cell>
          <cell r="F26">
            <v>25146.68</v>
          </cell>
        </row>
        <row r="27">
          <cell r="D27" t="str">
            <v>Ingeniería</v>
          </cell>
          <cell r="F27">
            <v>51878.84</v>
          </cell>
        </row>
        <row r="28">
          <cell r="D28" t="str">
            <v>Mercado</v>
          </cell>
          <cell r="F28">
            <v>26040.560000000001</v>
          </cell>
        </row>
        <row r="29">
          <cell r="D29" t="str">
            <v>I + D</v>
          </cell>
          <cell r="F29">
            <v>41053.480000000003</v>
          </cell>
        </row>
        <row r="30">
          <cell r="D30" t="str">
            <v>Administración</v>
          </cell>
          <cell r="F30">
            <v>26113.86</v>
          </cell>
        </row>
        <row r="31">
          <cell r="D31" t="str">
            <v>Contabilidad</v>
          </cell>
          <cell r="F31">
            <v>30451.68</v>
          </cell>
        </row>
        <row r="32">
          <cell r="D32" t="str">
            <v>Contabilidad</v>
          </cell>
          <cell r="F32">
            <v>26646.2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M4">
            <v>2</v>
          </cell>
        </row>
        <row r="5">
          <cell r="M5">
            <v>1</v>
          </cell>
        </row>
        <row r="6">
          <cell r="M6">
            <v>2</v>
          </cell>
        </row>
        <row r="7">
          <cell r="M7">
            <v>1</v>
          </cell>
        </row>
        <row r="8">
          <cell r="M8">
            <v>2</v>
          </cell>
        </row>
        <row r="9">
          <cell r="M9">
            <v>2</v>
          </cell>
        </row>
        <row r="10">
          <cell r="M10">
            <v>3</v>
          </cell>
        </row>
        <row r="11">
          <cell r="M11">
            <v>3</v>
          </cell>
        </row>
        <row r="12">
          <cell r="M12">
            <v>3</v>
          </cell>
        </row>
        <row r="13">
          <cell r="M13">
            <v>3</v>
          </cell>
        </row>
        <row r="14">
          <cell r="M14">
            <v>2</v>
          </cell>
        </row>
        <row r="15">
          <cell r="M15">
            <v>3</v>
          </cell>
        </row>
        <row r="16">
          <cell r="M16">
            <v>2</v>
          </cell>
        </row>
        <row r="17">
          <cell r="M17">
            <v>3</v>
          </cell>
        </row>
        <row r="18">
          <cell r="M18">
            <v>1</v>
          </cell>
        </row>
        <row r="19">
          <cell r="M19">
            <v>1</v>
          </cell>
        </row>
        <row r="20">
          <cell r="M20">
            <v>1</v>
          </cell>
        </row>
        <row r="21">
          <cell r="M21">
            <v>1</v>
          </cell>
        </row>
        <row r="22">
          <cell r="M22">
            <v>3</v>
          </cell>
        </row>
        <row r="23">
          <cell r="M23">
            <v>1</v>
          </cell>
        </row>
        <row r="24">
          <cell r="M24">
            <v>1</v>
          </cell>
        </row>
        <row r="25">
          <cell r="M25">
            <v>3</v>
          </cell>
        </row>
        <row r="26">
          <cell r="M26">
            <v>3</v>
          </cell>
        </row>
        <row r="27">
          <cell r="M27">
            <v>2</v>
          </cell>
        </row>
        <row r="28">
          <cell r="M28">
            <v>3</v>
          </cell>
        </row>
        <row r="29">
          <cell r="M29">
            <v>3</v>
          </cell>
        </row>
        <row r="30">
          <cell r="M30">
            <v>1</v>
          </cell>
        </row>
        <row r="31">
          <cell r="M31">
            <v>3</v>
          </cell>
        </row>
        <row r="32">
          <cell r="M32">
            <v>1</v>
          </cell>
        </row>
        <row r="33">
          <cell r="M33">
            <v>3</v>
          </cell>
        </row>
        <row r="34">
          <cell r="M34">
            <v>2</v>
          </cell>
        </row>
        <row r="35">
          <cell r="M35">
            <v>3</v>
          </cell>
        </row>
        <row r="36">
          <cell r="M36">
            <v>3</v>
          </cell>
        </row>
        <row r="37">
          <cell r="M37">
            <v>2</v>
          </cell>
        </row>
        <row r="38">
          <cell r="M38">
            <v>1</v>
          </cell>
        </row>
        <row r="39">
          <cell r="M39">
            <v>3</v>
          </cell>
        </row>
        <row r="40">
          <cell r="M40">
            <v>1</v>
          </cell>
        </row>
        <row r="41">
          <cell r="M41">
            <v>3</v>
          </cell>
        </row>
        <row r="42">
          <cell r="M42">
            <v>2</v>
          </cell>
        </row>
        <row r="43">
          <cell r="M43">
            <v>1</v>
          </cell>
        </row>
        <row r="44">
          <cell r="M44">
            <v>3</v>
          </cell>
        </row>
        <row r="45">
          <cell r="M45">
            <v>2</v>
          </cell>
        </row>
        <row r="46">
          <cell r="M46">
            <v>3</v>
          </cell>
        </row>
        <row r="47">
          <cell r="M47">
            <v>3</v>
          </cell>
        </row>
        <row r="48">
          <cell r="M48">
            <v>1</v>
          </cell>
        </row>
        <row r="49">
          <cell r="M49">
            <v>3</v>
          </cell>
        </row>
        <row r="50">
          <cell r="M50">
            <v>3</v>
          </cell>
        </row>
        <row r="51">
          <cell r="M51">
            <v>1</v>
          </cell>
        </row>
        <row r="52">
          <cell r="M52">
            <v>1</v>
          </cell>
        </row>
      </sheetData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"/>
      <sheetName val="TIPOS"/>
      <sheetName val="PRACTICA"/>
    </sheetNames>
    <sheetDataSet>
      <sheetData sheetId="0" refreshError="1"/>
      <sheetData sheetId="1" refreshError="1"/>
      <sheetData sheetId="2" refreshError="1"/>
      <sheetData sheetId="3">
        <row r="3">
          <cell r="A3" t="str">
            <v>Apellido Paterno</v>
          </cell>
          <cell r="B3" t="str">
            <v>Apellido Materno</v>
          </cell>
          <cell r="C3" t="str">
            <v>Nombre</v>
          </cell>
          <cell r="D3" t="str">
            <v>Distrito</v>
          </cell>
          <cell r="E3" t="str">
            <v>Dirección</v>
          </cell>
          <cell r="F3" t="str">
            <v>Nacimiento</v>
          </cell>
          <cell r="G3" t="str">
            <v>Est_Civil</v>
          </cell>
          <cell r="H3" t="str">
            <v>Sueldo</v>
          </cell>
          <cell r="I3" t="str">
            <v>Departamento</v>
          </cell>
          <cell r="J3" t="str">
            <v>Categoria</v>
          </cell>
        </row>
        <row r="4">
          <cell r="A4" t="str">
            <v>SOTO</v>
          </cell>
          <cell r="B4" t="str">
            <v>BULOS</v>
          </cell>
          <cell r="C4" t="str">
            <v>Renzo</v>
          </cell>
          <cell r="D4" t="str">
            <v>La Molina</v>
          </cell>
          <cell r="E4" t="str">
            <v>Yola # 120</v>
          </cell>
          <cell r="F4">
            <v>28016</v>
          </cell>
          <cell r="G4" t="str">
            <v>S</v>
          </cell>
          <cell r="H4">
            <v>2374</v>
          </cell>
          <cell r="I4" t="str">
            <v>Producción</v>
          </cell>
          <cell r="J4">
            <v>2</v>
          </cell>
        </row>
        <row r="5">
          <cell r="A5" t="str">
            <v>VIDAL</v>
          </cell>
          <cell r="B5" t="str">
            <v>ARBULU</v>
          </cell>
          <cell r="C5" t="str">
            <v>Sebastián</v>
          </cell>
          <cell r="D5" t="str">
            <v>La Molina</v>
          </cell>
          <cell r="E5" t="str">
            <v>Winnipeg L 26</v>
          </cell>
          <cell r="F5">
            <v>28099</v>
          </cell>
          <cell r="G5" t="str">
            <v>C</v>
          </cell>
          <cell r="H5">
            <v>2153</v>
          </cell>
          <cell r="I5" t="str">
            <v>Contabilidad</v>
          </cell>
          <cell r="J5">
            <v>1</v>
          </cell>
        </row>
        <row r="6">
          <cell r="A6" t="str">
            <v>SIERRALTA</v>
          </cell>
          <cell r="B6" t="str">
            <v>BUSTAMANTE</v>
          </cell>
          <cell r="C6" t="str">
            <v>Renato</v>
          </cell>
          <cell r="D6" t="str">
            <v>Santiago de Surco</v>
          </cell>
          <cell r="E6" t="str">
            <v>Victorio Mosto # 371 Dpto 402</v>
          </cell>
          <cell r="F6">
            <v>28080</v>
          </cell>
          <cell r="G6" t="str">
            <v>C</v>
          </cell>
          <cell r="H6">
            <v>1800</v>
          </cell>
          <cell r="I6" t="str">
            <v>Producción</v>
          </cell>
          <cell r="J6">
            <v>2</v>
          </cell>
        </row>
        <row r="7">
          <cell r="A7" t="str">
            <v>BRAMBILLA</v>
          </cell>
          <cell r="B7" t="str">
            <v>TABOADA</v>
          </cell>
          <cell r="C7" t="str">
            <v>Bruno Paolo</v>
          </cell>
          <cell r="D7" t="str">
            <v>Miraflores</v>
          </cell>
          <cell r="E7" t="str">
            <v>Víctor Fajardo # 180 Dpto 401</v>
          </cell>
          <cell r="F7">
            <v>28758</v>
          </cell>
          <cell r="G7" t="str">
            <v>C</v>
          </cell>
          <cell r="H7">
            <v>1958</v>
          </cell>
          <cell r="I7" t="str">
            <v>Producción</v>
          </cell>
          <cell r="J7">
            <v>1</v>
          </cell>
        </row>
        <row r="8">
          <cell r="A8" t="str">
            <v>HAAKER</v>
          </cell>
          <cell r="B8" t="str">
            <v>MARTINEZ</v>
          </cell>
          <cell r="C8" t="str">
            <v>Gustavo Antonio</v>
          </cell>
          <cell r="D8" t="str">
            <v>San Borja</v>
          </cell>
          <cell r="E8" t="str">
            <v>Vesalio # 191 Dpto. 102</v>
          </cell>
          <cell r="F8">
            <v>27491</v>
          </cell>
          <cell r="G8" t="str">
            <v>S</v>
          </cell>
          <cell r="H8">
            <v>1977</v>
          </cell>
          <cell r="I8" t="str">
            <v>Marketing</v>
          </cell>
          <cell r="J8">
            <v>2</v>
          </cell>
        </row>
        <row r="9">
          <cell r="A9" t="str">
            <v>LESCANO</v>
          </cell>
          <cell r="B9" t="str">
            <v>JEANNEAU</v>
          </cell>
          <cell r="C9" t="str">
            <v>Jorge Andrés</v>
          </cell>
          <cell r="D9" t="str">
            <v>Santiago de Surco</v>
          </cell>
          <cell r="E9" t="str">
            <v>Velasco Astete # 1357 - 203</v>
          </cell>
          <cell r="F9">
            <v>28097</v>
          </cell>
          <cell r="G9" t="str">
            <v>D</v>
          </cell>
          <cell r="H9">
            <v>3354</v>
          </cell>
          <cell r="I9" t="str">
            <v>Contabilidad</v>
          </cell>
          <cell r="J9">
            <v>2</v>
          </cell>
        </row>
        <row r="10">
          <cell r="A10" t="str">
            <v>MONTERO</v>
          </cell>
          <cell r="B10" t="str">
            <v>FUENTES</v>
          </cell>
          <cell r="C10" t="str">
            <v>Juan José</v>
          </cell>
          <cell r="D10" t="str">
            <v>Santiago de Surco</v>
          </cell>
          <cell r="E10" t="str">
            <v>Trinitarias # 291</v>
          </cell>
          <cell r="F10">
            <v>27054</v>
          </cell>
          <cell r="G10" t="str">
            <v>C</v>
          </cell>
          <cell r="H10">
            <v>3238</v>
          </cell>
          <cell r="I10" t="str">
            <v>Contabilidad</v>
          </cell>
          <cell r="J10">
            <v>3</v>
          </cell>
        </row>
        <row r="11">
          <cell r="A11" t="str">
            <v>VIAL</v>
          </cell>
          <cell r="B11" t="str">
            <v>ARIAS</v>
          </cell>
          <cell r="C11" t="str">
            <v>Sebastián</v>
          </cell>
          <cell r="D11" t="str">
            <v>Santiago de Surco</v>
          </cell>
          <cell r="E11" t="str">
            <v>Trinitarias # 100 3er Piso</v>
          </cell>
          <cell r="F11">
            <v>25668</v>
          </cell>
          <cell r="G11" t="str">
            <v>S</v>
          </cell>
          <cell r="H11">
            <v>2260</v>
          </cell>
          <cell r="I11" t="str">
            <v>Marketing</v>
          </cell>
          <cell r="J11">
            <v>3</v>
          </cell>
        </row>
        <row r="12">
          <cell r="A12" t="str">
            <v>VALDIVIESO</v>
          </cell>
          <cell r="B12" t="str">
            <v>BARYCKI</v>
          </cell>
          <cell r="C12" t="str">
            <v>Rodrigo</v>
          </cell>
          <cell r="D12" t="str">
            <v>Miraflores</v>
          </cell>
          <cell r="E12" t="str">
            <v>Triana # 168</v>
          </cell>
          <cell r="F12">
            <v>28406</v>
          </cell>
          <cell r="G12" t="str">
            <v>C</v>
          </cell>
          <cell r="H12">
            <v>2369</v>
          </cell>
          <cell r="I12" t="str">
            <v>Contabilidad</v>
          </cell>
          <cell r="J12">
            <v>3</v>
          </cell>
        </row>
        <row r="13">
          <cell r="A13" t="str">
            <v>ARAUJO</v>
          </cell>
          <cell r="B13" t="str">
            <v>VERGANI</v>
          </cell>
          <cell r="C13" t="str">
            <v>Alonso</v>
          </cell>
          <cell r="D13" t="str">
            <v>San Isidro</v>
          </cell>
          <cell r="E13" t="str">
            <v>Tomas Edison # 105 Dpto 702</v>
          </cell>
          <cell r="F13">
            <v>25578</v>
          </cell>
          <cell r="G13" t="str">
            <v>D</v>
          </cell>
          <cell r="H13">
            <v>1670</v>
          </cell>
          <cell r="I13" t="str">
            <v>Marketing</v>
          </cell>
          <cell r="J13">
            <v>3</v>
          </cell>
        </row>
        <row r="14">
          <cell r="A14" t="str">
            <v>CARRANZA</v>
          </cell>
          <cell r="B14" t="str">
            <v>SCAMARONE</v>
          </cell>
          <cell r="C14" t="str">
            <v>César Alonso</v>
          </cell>
          <cell r="D14" t="str">
            <v>La Punta</v>
          </cell>
          <cell r="E14" t="str">
            <v>Tarapaca 210</v>
          </cell>
          <cell r="F14">
            <v>25746</v>
          </cell>
          <cell r="G14" t="str">
            <v>V</v>
          </cell>
          <cell r="H14">
            <v>2648</v>
          </cell>
          <cell r="I14" t="str">
            <v>Finanzas</v>
          </cell>
          <cell r="J14">
            <v>2</v>
          </cell>
        </row>
        <row r="15">
          <cell r="A15" t="str">
            <v>DE BUSTAMANTE</v>
          </cell>
          <cell r="B15" t="str">
            <v>QUESADA</v>
          </cell>
          <cell r="C15" t="str">
            <v>Diego Martín</v>
          </cell>
          <cell r="D15" t="str">
            <v>La Molina</v>
          </cell>
          <cell r="E15" t="str">
            <v>Sta. Sofía A-16</v>
          </cell>
          <cell r="F15">
            <v>26289</v>
          </cell>
          <cell r="G15" t="str">
            <v>S</v>
          </cell>
          <cell r="H15">
            <v>2423</v>
          </cell>
          <cell r="I15" t="str">
            <v>Finanzas</v>
          </cell>
          <cell r="J15">
            <v>3</v>
          </cell>
        </row>
        <row r="16">
          <cell r="A16" t="str">
            <v>DEACON</v>
          </cell>
          <cell r="B16" t="str">
            <v>PIERANTONI</v>
          </cell>
          <cell r="C16" t="str">
            <v>Eduardo José</v>
          </cell>
          <cell r="D16" t="str">
            <v>No presentó</v>
          </cell>
          <cell r="E16" t="str">
            <v>Sta. Sofía A-16</v>
          </cell>
          <cell r="F16">
            <v>28492</v>
          </cell>
          <cell r="G16" t="str">
            <v>C</v>
          </cell>
          <cell r="H16">
            <v>1776</v>
          </cell>
          <cell r="I16" t="str">
            <v>Marketing</v>
          </cell>
          <cell r="J16">
            <v>2</v>
          </cell>
        </row>
        <row r="17">
          <cell r="A17" t="str">
            <v>LEON</v>
          </cell>
          <cell r="B17" t="str">
            <v>JIMENEZ</v>
          </cell>
          <cell r="C17" t="str">
            <v>Jorge Alfredo</v>
          </cell>
          <cell r="D17" t="str">
            <v>San Borja</v>
          </cell>
          <cell r="E17" t="str">
            <v>Sibelius # 108</v>
          </cell>
          <cell r="F17">
            <v>27517</v>
          </cell>
          <cell r="G17" t="str">
            <v>C</v>
          </cell>
          <cell r="H17">
            <v>2263</v>
          </cell>
          <cell r="I17" t="str">
            <v>Contabilidad</v>
          </cell>
          <cell r="J17">
            <v>3</v>
          </cell>
        </row>
        <row r="18">
          <cell r="A18" t="str">
            <v>GUILLEN</v>
          </cell>
          <cell r="B18" t="str">
            <v>MEJIA</v>
          </cell>
          <cell r="C18" t="str">
            <v>Gonzalo Rafael</v>
          </cell>
          <cell r="D18" t="str">
            <v>Santiago de Surco</v>
          </cell>
          <cell r="E18" t="str">
            <v>Sevilla # 221</v>
          </cell>
          <cell r="F18">
            <v>26326</v>
          </cell>
          <cell r="G18" t="str">
            <v>C</v>
          </cell>
          <cell r="H18">
            <v>1897</v>
          </cell>
          <cell r="I18" t="str">
            <v>Marketing</v>
          </cell>
          <cell r="J18">
            <v>1</v>
          </cell>
        </row>
        <row r="19">
          <cell r="A19" t="str">
            <v>MARTINOT</v>
          </cell>
          <cell r="B19" t="str">
            <v>GONZALEZ DE MENDOZA</v>
          </cell>
          <cell r="C19" t="str">
            <v>José Galo</v>
          </cell>
          <cell r="D19" t="str">
            <v>San Borja</v>
          </cell>
          <cell r="E19" t="str">
            <v>Schipper # 188</v>
          </cell>
          <cell r="F19">
            <v>27052</v>
          </cell>
          <cell r="G19" t="str">
            <v>C</v>
          </cell>
          <cell r="H19">
            <v>1217</v>
          </cell>
          <cell r="I19" t="str">
            <v>Producción</v>
          </cell>
          <cell r="J19">
            <v>1</v>
          </cell>
        </row>
        <row r="20">
          <cell r="A20" t="str">
            <v>CHAMOCHUMBI</v>
          </cell>
          <cell r="B20" t="str">
            <v>REVILLA</v>
          </cell>
          <cell r="C20" t="str">
            <v>Diego Alonso</v>
          </cell>
          <cell r="D20" t="str">
            <v>La Molina</v>
          </cell>
          <cell r="E20" t="str">
            <v>San Martín # 114</v>
          </cell>
          <cell r="F20">
            <v>28741</v>
          </cell>
          <cell r="G20" t="str">
            <v>S</v>
          </cell>
          <cell r="H20">
            <v>3007</v>
          </cell>
          <cell r="I20" t="str">
            <v>Producción</v>
          </cell>
          <cell r="J20">
            <v>1</v>
          </cell>
        </row>
        <row r="21">
          <cell r="A21" t="str">
            <v>CHAVEZ</v>
          </cell>
          <cell r="B21" t="str">
            <v>RAMIREZ</v>
          </cell>
          <cell r="C21" t="str">
            <v>Diego Alonso</v>
          </cell>
          <cell r="D21" t="str">
            <v>Santiago de Surco</v>
          </cell>
          <cell r="E21" t="str">
            <v>San Juan # 734 Dpto 401</v>
          </cell>
          <cell r="F21">
            <v>26411</v>
          </cell>
          <cell r="G21" t="str">
            <v>S</v>
          </cell>
          <cell r="H21">
            <v>1637</v>
          </cell>
          <cell r="I21" t="str">
            <v>Contabilidad</v>
          </cell>
          <cell r="J21">
            <v>1</v>
          </cell>
        </row>
        <row r="22">
          <cell r="A22" t="str">
            <v>ROMERO</v>
          </cell>
          <cell r="B22" t="str">
            <v>CORDOVA</v>
          </cell>
          <cell r="C22" t="str">
            <v>Nicolás</v>
          </cell>
          <cell r="D22" t="str">
            <v>Chorrillos</v>
          </cell>
          <cell r="E22" t="str">
            <v>San Hermenegildo # 295</v>
          </cell>
          <cell r="F22">
            <v>26577</v>
          </cell>
          <cell r="G22" t="str">
            <v>S</v>
          </cell>
          <cell r="H22">
            <v>1111</v>
          </cell>
          <cell r="I22" t="str">
            <v>Marketing</v>
          </cell>
          <cell r="J22">
            <v>3</v>
          </cell>
        </row>
        <row r="23">
          <cell r="A23" t="str">
            <v>GEU</v>
          </cell>
          <cell r="B23" t="str">
            <v>MONTOYA</v>
          </cell>
          <cell r="C23" t="str">
            <v>Gianmarco</v>
          </cell>
          <cell r="D23" t="str">
            <v>Santiago de Surco</v>
          </cell>
          <cell r="E23" t="str">
            <v>Riva Aguero # 147</v>
          </cell>
          <cell r="F23">
            <v>26711</v>
          </cell>
          <cell r="G23" t="str">
            <v>S</v>
          </cell>
          <cell r="H23">
            <v>2275</v>
          </cell>
          <cell r="I23" t="str">
            <v>Finanzas</v>
          </cell>
          <cell r="J23">
            <v>1</v>
          </cell>
        </row>
        <row r="24">
          <cell r="A24" t="str">
            <v>GRISOLLE</v>
          </cell>
          <cell r="B24" t="str">
            <v>MENDOZA</v>
          </cell>
          <cell r="C24" t="str">
            <v>Gonzalo Elehin</v>
          </cell>
          <cell r="D24" t="str">
            <v>No presentó</v>
          </cell>
          <cell r="E24" t="str">
            <v>Riva Aguero # 147</v>
          </cell>
          <cell r="F24">
            <v>27602</v>
          </cell>
          <cell r="G24" t="str">
            <v>S</v>
          </cell>
          <cell r="H24">
            <v>3310</v>
          </cell>
          <cell r="I24" t="str">
            <v>Contabilidad</v>
          </cell>
          <cell r="J24">
            <v>1</v>
          </cell>
        </row>
        <row r="25">
          <cell r="A25" t="str">
            <v>GEREDA</v>
          </cell>
          <cell r="B25" t="str">
            <v>MORA</v>
          </cell>
          <cell r="C25" t="str">
            <v>Gianfranco</v>
          </cell>
          <cell r="D25" t="str">
            <v>Santiago de Surco</v>
          </cell>
          <cell r="E25" t="str">
            <v>Riva Aguero # 142 Dpto 102</v>
          </cell>
          <cell r="F25">
            <v>26488</v>
          </cell>
          <cell r="G25" t="str">
            <v>S</v>
          </cell>
          <cell r="H25">
            <v>3478</v>
          </cell>
          <cell r="I25" t="str">
            <v>Contabilidad</v>
          </cell>
          <cell r="J25">
            <v>3</v>
          </cell>
        </row>
        <row r="26">
          <cell r="A26" t="str">
            <v>CAMPBELL</v>
          </cell>
          <cell r="B26" t="str">
            <v>SERVAN</v>
          </cell>
          <cell r="C26" t="str">
            <v>Carlos Guillermo</v>
          </cell>
          <cell r="D26" t="str">
            <v>La Molina</v>
          </cell>
          <cell r="E26" t="str">
            <v>Río de Janerio # 275</v>
          </cell>
          <cell r="F26">
            <v>26066</v>
          </cell>
          <cell r="G26" t="str">
            <v>S</v>
          </cell>
          <cell r="H26">
            <v>2576</v>
          </cell>
          <cell r="I26" t="str">
            <v>Producción</v>
          </cell>
          <cell r="J26">
            <v>3</v>
          </cell>
        </row>
        <row r="27">
          <cell r="A27" t="str">
            <v>REATEGUI</v>
          </cell>
          <cell r="B27" t="str">
            <v>DE CARDENAS</v>
          </cell>
          <cell r="C27" t="str">
            <v>Martín Alonso</v>
          </cell>
          <cell r="D27" t="str">
            <v>Santiago de Surco</v>
          </cell>
          <cell r="E27" t="str">
            <v>Reynaldo Vivanco # 660</v>
          </cell>
          <cell r="F27">
            <v>26452</v>
          </cell>
          <cell r="G27" t="str">
            <v>C</v>
          </cell>
          <cell r="H27">
            <v>3263</v>
          </cell>
          <cell r="I27" t="str">
            <v>Finanzas</v>
          </cell>
          <cell r="J27">
            <v>2</v>
          </cell>
        </row>
        <row r="28">
          <cell r="A28" t="str">
            <v>VILELA</v>
          </cell>
          <cell r="B28" t="str">
            <v>ANCIETA</v>
          </cell>
          <cell r="C28" t="str">
            <v>Sebastián</v>
          </cell>
          <cell r="D28" t="str">
            <v>Santiago de Surco</v>
          </cell>
          <cell r="E28" t="str">
            <v>Residencial Scorza C 34</v>
          </cell>
          <cell r="F28">
            <v>27593</v>
          </cell>
          <cell r="G28" t="str">
            <v>C</v>
          </cell>
          <cell r="H28">
            <v>1025</v>
          </cell>
          <cell r="I28" t="str">
            <v>Producción</v>
          </cell>
          <cell r="J28">
            <v>3</v>
          </cell>
        </row>
        <row r="29">
          <cell r="A29" t="str">
            <v>JIMENO</v>
          </cell>
          <cell r="B29" t="str">
            <v>VELARDE</v>
          </cell>
          <cell r="C29" t="str">
            <v>Jan Marco</v>
          </cell>
          <cell r="D29" t="str">
            <v>Santiago de Surco</v>
          </cell>
          <cell r="E29" t="str">
            <v>República de Líbano # 181</v>
          </cell>
          <cell r="F29">
            <v>28577</v>
          </cell>
          <cell r="G29" t="str">
            <v>C</v>
          </cell>
          <cell r="H29">
            <v>2320</v>
          </cell>
          <cell r="I29" t="str">
            <v>Contabilidad</v>
          </cell>
          <cell r="J29">
            <v>3</v>
          </cell>
        </row>
        <row r="30">
          <cell r="A30" t="str">
            <v>UGAS</v>
          </cell>
          <cell r="B30" t="str">
            <v>BERETTA</v>
          </cell>
          <cell r="C30" t="str">
            <v>Rodrigo</v>
          </cell>
          <cell r="D30" t="str">
            <v>La Molina</v>
          </cell>
          <cell r="E30" t="str">
            <v>Refugio # 570</v>
          </cell>
          <cell r="F30">
            <v>28127</v>
          </cell>
          <cell r="G30" t="str">
            <v>S</v>
          </cell>
          <cell r="H30">
            <v>1417</v>
          </cell>
          <cell r="I30" t="str">
            <v>Producción</v>
          </cell>
          <cell r="J30">
            <v>1</v>
          </cell>
        </row>
        <row r="31">
          <cell r="A31" t="str">
            <v>PONCE</v>
          </cell>
          <cell r="B31" t="str">
            <v>DE LOS RIOS</v>
          </cell>
          <cell r="C31" t="str">
            <v>Marco Antonio</v>
          </cell>
          <cell r="D31" t="str">
            <v>Magdalena</v>
          </cell>
          <cell r="E31" t="str">
            <v>Raymondi # 645</v>
          </cell>
          <cell r="F31">
            <v>27130</v>
          </cell>
          <cell r="G31" t="str">
            <v>C</v>
          </cell>
          <cell r="H31">
            <v>2748</v>
          </cell>
          <cell r="I31" t="str">
            <v>Finanzas</v>
          </cell>
          <cell r="J31">
            <v>3</v>
          </cell>
        </row>
        <row r="32">
          <cell r="A32" t="str">
            <v>MIRANDA</v>
          </cell>
          <cell r="B32" t="str">
            <v>GANDOLFO</v>
          </cell>
          <cell r="C32" t="str">
            <v>Juan Carlos</v>
          </cell>
          <cell r="D32" t="str">
            <v>La Molina</v>
          </cell>
          <cell r="E32" t="str">
            <v>Raúl Ferrero Mz D2 Lt 15</v>
          </cell>
          <cell r="F32">
            <v>28307</v>
          </cell>
          <cell r="G32" t="str">
            <v>S</v>
          </cell>
          <cell r="H32">
            <v>2515</v>
          </cell>
          <cell r="I32" t="str">
            <v>Marketing</v>
          </cell>
          <cell r="J32">
            <v>1</v>
          </cell>
        </row>
        <row r="33">
          <cell r="A33" t="str">
            <v>MENENDEZ</v>
          </cell>
          <cell r="B33" t="str">
            <v>GARCIA</v>
          </cell>
          <cell r="C33" t="str">
            <v>José Ricardo</v>
          </cell>
          <cell r="D33" t="str">
            <v>Miraflores</v>
          </cell>
          <cell r="E33" t="str">
            <v>Ramón Zavala # 249</v>
          </cell>
          <cell r="F33">
            <v>25932</v>
          </cell>
          <cell r="G33" t="str">
            <v>S</v>
          </cell>
          <cell r="H33">
            <v>3258</v>
          </cell>
          <cell r="I33" t="str">
            <v>Finanzas</v>
          </cell>
          <cell r="J33">
            <v>3</v>
          </cell>
        </row>
        <row r="34">
          <cell r="A34" t="str">
            <v>CUEVA</v>
          </cell>
          <cell r="B34" t="str">
            <v>REYES</v>
          </cell>
          <cell r="C34" t="str">
            <v>Diego Alfredo</v>
          </cell>
          <cell r="D34" t="str">
            <v>San Isidro</v>
          </cell>
          <cell r="E34" t="str">
            <v>R. Morales de la Torre # 275 D</v>
          </cell>
          <cell r="F34">
            <v>28653</v>
          </cell>
          <cell r="G34" t="str">
            <v>D</v>
          </cell>
          <cell r="H34">
            <v>1078</v>
          </cell>
          <cell r="I34" t="str">
            <v>Contabilidad</v>
          </cell>
          <cell r="J34">
            <v>2</v>
          </cell>
        </row>
        <row r="35">
          <cell r="A35" t="str">
            <v>MENDOZA</v>
          </cell>
          <cell r="B35" t="str">
            <v>GARCIA</v>
          </cell>
          <cell r="C35" t="str">
            <v>José Rafael</v>
          </cell>
          <cell r="D35" t="str">
            <v>San Isidro</v>
          </cell>
          <cell r="E35" t="str">
            <v>R. Morales de la Torre # 275 D</v>
          </cell>
          <cell r="F35">
            <v>27519</v>
          </cell>
          <cell r="G35" t="str">
            <v>D</v>
          </cell>
          <cell r="H35">
            <v>2167</v>
          </cell>
          <cell r="I35" t="str">
            <v>Finanzas</v>
          </cell>
          <cell r="J35">
            <v>3</v>
          </cell>
        </row>
        <row r="36">
          <cell r="A36" t="str">
            <v>ASCENZO</v>
          </cell>
          <cell r="B36" t="str">
            <v>VELASCO</v>
          </cell>
          <cell r="C36" t="str">
            <v>Alvaro Alonso</v>
          </cell>
          <cell r="D36" t="str">
            <v>Miraflores</v>
          </cell>
          <cell r="E36" t="str">
            <v>Psj. San Martin #142 Dpto. 404</v>
          </cell>
          <cell r="F36">
            <v>27582</v>
          </cell>
          <cell r="G36" t="str">
            <v>S</v>
          </cell>
          <cell r="H36">
            <v>2143</v>
          </cell>
          <cell r="I36" t="str">
            <v>Marketing</v>
          </cell>
          <cell r="J36">
            <v>3</v>
          </cell>
        </row>
        <row r="37">
          <cell r="A37" t="str">
            <v>DIEZ CANSECO</v>
          </cell>
          <cell r="B37" t="str">
            <v>PAZ SOLDAN</v>
          </cell>
          <cell r="C37" t="str">
            <v>Essio</v>
          </cell>
          <cell r="D37" t="str">
            <v>Santiago de Surco</v>
          </cell>
          <cell r="E37" t="str">
            <v>Precursores # 780</v>
          </cell>
          <cell r="F37">
            <v>26225</v>
          </cell>
          <cell r="G37" t="str">
            <v>V</v>
          </cell>
          <cell r="H37">
            <v>2098</v>
          </cell>
          <cell r="I37" t="str">
            <v>Marketing</v>
          </cell>
          <cell r="J37">
            <v>2</v>
          </cell>
        </row>
        <row r="38">
          <cell r="A38" t="str">
            <v>CAMINO</v>
          </cell>
          <cell r="B38" t="str">
            <v>SERVAT</v>
          </cell>
          <cell r="C38" t="str">
            <v>Carlos Guillermo</v>
          </cell>
          <cell r="D38" t="str">
            <v>Santiago de Surco</v>
          </cell>
          <cell r="E38" t="str">
            <v>Precursores # 639</v>
          </cell>
          <cell r="F38">
            <v>26168</v>
          </cell>
          <cell r="G38" t="str">
            <v>V</v>
          </cell>
          <cell r="H38">
            <v>3166</v>
          </cell>
          <cell r="I38" t="str">
            <v>Producción</v>
          </cell>
          <cell r="J38">
            <v>1</v>
          </cell>
        </row>
        <row r="39">
          <cell r="A39" t="str">
            <v>CARRILLO</v>
          </cell>
          <cell r="B39" t="str">
            <v>SARIC</v>
          </cell>
          <cell r="C39" t="str">
            <v>César Francisco</v>
          </cell>
          <cell r="D39" t="str">
            <v>No presentó</v>
          </cell>
          <cell r="E39" t="str">
            <v>Precursores # 639</v>
          </cell>
          <cell r="F39">
            <v>27819</v>
          </cell>
          <cell r="G39" t="str">
            <v>D</v>
          </cell>
          <cell r="H39">
            <v>1943</v>
          </cell>
          <cell r="I39" t="str">
            <v>Finanzas</v>
          </cell>
          <cell r="J39">
            <v>3</v>
          </cell>
        </row>
        <row r="40">
          <cell r="A40" t="str">
            <v>VALDIVIA</v>
          </cell>
          <cell r="B40" t="str">
            <v>BELAUNDE</v>
          </cell>
          <cell r="C40" t="str">
            <v>Rodrigo</v>
          </cell>
          <cell r="D40" t="str">
            <v>San Borja</v>
          </cell>
          <cell r="E40" t="str">
            <v>Poussin # 243</v>
          </cell>
          <cell r="F40">
            <v>27938</v>
          </cell>
          <cell r="G40" t="str">
            <v>S</v>
          </cell>
          <cell r="H40">
            <v>1841</v>
          </cell>
          <cell r="I40" t="str">
            <v>Finanzas</v>
          </cell>
          <cell r="J40">
            <v>1</v>
          </cell>
        </row>
        <row r="41">
          <cell r="A41" t="str">
            <v>GARCIA</v>
          </cell>
          <cell r="B41" t="str">
            <v>MORE</v>
          </cell>
          <cell r="C41" t="str">
            <v>Gian Carlo</v>
          </cell>
          <cell r="D41" t="str">
            <v>Miraflores</v>
          </cell>
          <cell r="E41" t="str">
            <v>Porta # 685 Dpto 3</v>
          </cell>
          <cell r="F41">
            <v>27325</v>
          </cell>
          <cell r="G41" t="str">
            <v>S</v>
          </cell>
          <cell r="H41">
            <v>1930</v>
          </cell>
          <cell r="I41" t="str">
            <v>Finanzas</v>
          </cell>
          <cell r="J41">
            <v>3</v>
          </cell>
        </row>
        <row r="42">
          <cell r="A42" t="str">
            <v>SALAZAR</v>
          </cell>
          <cell r="B42" t="str">
            <v>CASAL</v>
          </cell>
          <cell r="C42" t="str">
            <v>Paul Enrique</v>
          </cell>
          <cell r="D42" t="str">
            <v>La Molina</v>
          </cell>
          <cell r="E42" t="str">
            <v>Pontevedra # 143</v>
          </cell>
          <cell r="F42">
            <v>27135</v>
          </cell>
          <cell r="G42" t="str">
            <v>S</v>
          </cell>
          <cell r="H42">
            <v>2649</v>
          </cell>
          <cell r="I42" t="str">
            <v>Marketing</v>
          </cell>
          <cell r="J42">
            <v>2</v>
          </cell>
        </row>
        <row r="43">
          <cell r="A43" t="str">
            <v>PELLEGRIN</v>
          </cell>
          <cell r="B43" t="str">
            <v>DIAZ</v>
          </cell>
          <cell r="C43" t="str">
            <v>Luis José</v>
          </cell>
          <cell r="D43" t="str">
            <v>Chorrillos</v>
          </cell>
          <cell r="E43" t="str">
            <v>Poeta de la Rivera G 15</v>
          </cell>
          <cell r="F43">
            <v>28101</v>
          </cell>
          <cell r="G43" t="str">
            <v>D</v>
          </cell>
          <cell r="H43">
            <v>2293</v>
          </cell>
          <cell r="I43" t="str">
            <v>Contabilidad</v>
          </cell>
          <cell r="J43">
            <v>1</v>
          </cell>
        </row>
        <row r="44">
          <cell r="A44" t="str">
            <v>LA ROSA</v>
          </cell>
          <cell r="B44" t="str">
            <v>LAZO</v>
          </cell>
          <cell r="C44" t="str">
            <v>Javier Eduardo</v>
          </cell>
          <cell r="D44" t="str">
            <v>San Borja</v>
          </cell>
          <cell r="E44" t="str">
            <v>Pisano # 192</v>
          </cell>
          <cell r="F44">
            <v>27711</v>
          </cell>
          <cell r="G44" t="str">
            <v>S</v>
          </cell>
          <cell r="H44">
            <v>1456</v>
          </cell>
          <cell r="I44" t="str">
            <v>Marketing</v>
          </cell>
          <cell r="J44">
            <v>3</v>
          </cell>
        </row>
        <row r="45">
          <cell r="A45" t="str">
            <v>MONZON</v>
          </cell>
          <cell r="B45" t="str">
            <v>FREYRE</v>
          </cell>
          <cell r="C45" t="str">
            <v>Juan José</v>
          </cell>
          <cell r="D45" t="str">
            <v>Santiago de Surco</v>
          </cell>
          <cell r="E45" t="str">
            <v>Pinos del Valle # 201 Dpto 301</v>
          </cell>
          <cell r="F45">
            <v>26641</v>
          </cell>
          <cell r="G45" t="str">
            <v>S</v>
          </cell>
          <cell r="H45">
            <v>2322</v>
          </cell>
          <cell r="I45" t="str">
            <v>Finanzas</v>
          </cell>
          <cell r="J45">
            <v>2</v>
          </cell>
        </row>
        <row r="46">
          <cell r="A46" t="str">
            <v>SANTA MARIA</v>
          </cell>
          <cell r="B46" t="str">
            <v>CANE</v>
          </cell>
          <cell r="C46" t="str">
            <v>Piero</v>
          </cell>
          <cell r="D46" t="str">
            <v>San Borja</v>
          </cell>
          <cell r="E46" t="str">
            <v>Pietro Mascagnni # 336 - 340</v>
          </cell>
          <cell r="F46">
            <v>26688</v>
          </cell>
          <cell r="G46" t="str">
            <v>S</v>
          </cell>
          <cell r="H46">
            <v>2648</v>
          </cell>
          <cell r="I46" t="str">
            <v>Marketing</v>
          </cell>
          <cell r="J46">
            <v>3</v>
          </cell>
        </row>
        <row r="47">
          <cell r="A47" t="str">
            <v>KISS</v>
          </cell>
          <cell r="B47" t="str">
            <v>LEON</v>
          </cell>
          <cell r="C47" t="str">
            <v>Javier</v>
          </cell>
          <cell r="D47" t="str">
            <v>Santiago de Surco</v>
          </cell>
          <cell r="E47" t="str">
            <v>Pedro Venturo # 608</v>
          </cell>
          <cell r="F47">
            <v>25670</v>
          </cell>
          <cell r="G47" t="str">
            <v>C</v>
          </cell>
          <cell r="H47">
            <v>2217</v>
          </cell>
          <cell r="I47" t="str">
            <v>Contabilidad</v>
          </cell>
          <cell r="J47">
            <v>3</v>
          </cell>
        </row>
        <row r="48">
          <cell r="A48" t="str">
            <v>LEGUIA</v>
          </cell>
          <cell r="B48" t="str">
            <v>KOECHLIN</v>
          </cell>
          <cell r="C48" t="str">
            <v>Jerzy Luis</v>
          </cell>
          <cell r="D48" t="str">
            <v>Santiago de Surco</v>
          </cell>
          <cell r="E48" t="str">
            <v>Pedro de Candia # 112</v>
          </cell>
          <cell r="F48">
            <v>27052</v>
          </cell>
          <cell r="G48" t="str">
            <v>C</v>
          </cell>
          <cell r="H48">
            <v>3077</v>
          </cell>
          <cell r="I48" t="str">
            <v>Marketing</v>
          </cell>
          <cell r="J48">
            <v>1</v>
          </cell>
        </row>
        <row r="49">
          <cell r="A49" t="str">
            <v>ALZAMORA</v>
          </cell>
          <cell r="B49" t="str">
            <v>VILLARAN</v>
          </cell>
          <cell r="C49" t="str">
            <v>Alfonso</v>
          </cell>
          <cell r="D49" t="str">
            <v>Barranco</v>
          </cell>
          <cell r="E49" t="str">
            <v>Pasaje Lavalle # 109</v>
          </cell>
          <cell r="F49">
            <v>27832</v>
          </cell>
          <cell r="G49" t="str">
            <v>C</v>
          </cell>
          <cell r="H49">
            <v>3161</v>
          </cell>
          <cell r="I49" t="str">
            <v>Marketing</v>
          </cell>
          <cell r="J49">
            <v>3</v>
          </cell>
        </row>
        <row r="50">
          <cell r="A50" t="str">
            <v>ALVAREZ</v>
          </cell>
          <cell r="B50" t="str">
            <v>VIVANCO</v>
          </cell>
          <cell r="C50" t="str">
            <v>Alex Fernando</v>
          </cell>
          <cell r="D50" t="str">
            <v>Santiago de Surco</v>
          </cell>
          <cell r="E50" t="str">
            <v>Paramonga # 231</v>
          </cell>
          <cell r="F50">
            <v>27139</v>
          </cell>
          <cell r="G50" t="str">
            <v>S</v>
          </cell>
          <cell r="H50">
            <v>2905</v>
          </cell>
          <cell r="I50" t="str">
            <v>Marketing</v>
          </cell>
          <cell r="J50">
            <v>3</v>
          </cell>
        </row>
        <row r="51">
          <cell r="A51" t="str">
            <v>FU</v>
          </cell>
          <cell r="B51" t="str">
            <v>NUÑEZ</v>
          </cell>
          <cell r="C51" t="str">
            <v>Franco Andrés</v>
          </cell>
          <cell r="D51" t="str">
            <v>Santiago de Surco</v>
          </cell>
          <cell r="E51" t="str">
            <v>Paramonga # 231</v>
          </cell>
          <cell r="F51">
            <v>25890</v>
          </cell>
          <cell r="G51" t="str">
            <v>S</v>
          </cell>
          <cell r="H51">
            <v>1171</v>
          </cell>
          <cell r="I51" t="str">
            <v>Contabilidad</v>
          </cell>
          <cell r="J51">
            <v>1</v>
          </cell>
        </row>
        <row r="52">
          <cell r="A52" t="str">
            <v>VELEZMORO</v>
          </cell>
          <cell r="B52" t="str">
            <v>ASTENGO</v>
          </cell>
          <cell r="C52" t="str">
            <v>Samuel</v>
          </cell>
          <cell r="D52" t="str">
            <v>La Molina</v>
          </cell>
          <cell r="E52" t="str">
            <v>Paraíso # 150</v>
          </cell>
          <cell r="F52">
            <v>25989</v>
          </cell>
          <cell r="G52" t="str">
            <v>C</v>
          </cell>
          <cell r="H52">
            <v>1031</v>
          </cell>
          <cell r="I52" t="str">
            <v>Producción</v>
          </cell>
          <cell r="J52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_Filtros"/>
      <sheetName val="Data"/>
      <sheetName val="Teoría_Nombres"/>
      <sheetName val="Data2"/>
      <sheetName val="Teoría_Condicional"/>
      <sheetName val="Data3"/>
    </sheetNames>
    <sheetDataSet>
      <sheetData sheetId="0" refreshError="1"/>
      <sheetData sheetId="1" refreshError="1"/>
      <sheetData sheetId="2" refreshError="1"/>
      <sheetData sheetId="3">
        <row r="39">
          <cell r="I39">
            <v>296</v>
          </cell>
        </row>
        <row r="40">
          <cell r="I40">
            <v>332</v>
          </cell>
        </row>
        <row r="41">
          <cell r="I41">
            <v>423</v>
          </cell>
        </row>
        <row r="42">
          <cell r="I42">
            <v>499</v>
          </cell>
        </row>
      </sheetData>
      <sheetData sheetId="4">
        <row r="4">
          <cell r="C4">
            <v>5</v>
          </cell>
          <cell r="D4">
            <v>3</v>
          </cell>
        </row>
        <row r="5">
          <cell r="C5">
            <v>2</v>
          </cell>
          <cell r="D5">
            <v>4</v>
          </cell>
        </row>
        <row r="6">
          <cell r="C6">
            <v>4</v>
          </cell>
          <cell r="D6">
            <v>5</v>
          </cell>
        </row>
        <row r="7">
          <cell r="C7">
            <v>3</v>
          </cell>
          <cell r="D7">
            <v>4</v>
          </cell>
        </row>
        <row r="8">
          <cell r="C8">
            <v>6</v>
          </cell>
          <cell r="D8">
            <v>2</v>
          </cell>
        </row>
      </sheetData>
      <sheetData sheetId="5" refreshError="1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REFERENCIAS"/>
      <sheetName val="EJERCICIO 1"/>
      <sheetName val="EJERCICIO 2"/>
      <sheetName val="EJERCICIO 3"/>
      <sheetName val="EJERCICIO 5"/>
      <sheetName val="EJERCICIO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D4" t="str">
            <v>Contabilidad</v>
          </cell>
          <cell r="E4" t="str">
            <v>Copiadoras</v>
          </cell>
          <cell r="F4">
            <v>21887.95</v>
          </cell>
        </row>
        <row r="5">
          <cell r="D5" t="str">
            <v>Ingeniería</v>
          </cell>
          <cell r="E5" t="str">
            <v>Impresoras</v>
          </cell>
          <cell r="F5">
            <v>23035.88</v>
          </cell>
        </row>
        <row r="6">
          <cell r="D6" t="str">
            <v>Ingeniería</v>
          </cell>
          <cell r="E6" t="str">
            <v>Fax</v>
          </cell>
          <cell r="F6">
            <v>23035.88</v>
          </cell>
        </row>
        <row r="7">
          <cell r="D7" t="str">
            <v>Ingeniería</v>
          </cell>
          <cell r="E7" t="str">
            <v>Copiadoras</v>
          </cell>
          <cell r="F7">
            <v>34002.050000000003</v>
          </cell>
        </row>
        <row r="8">
          <cell r="D8" t="str">
            <v>Mercado</v>
          </cell>
          <cell r="E8" t="str">
            <v>Copiadoras</v>
          </cell>
          <cell r="F8">
            <v>31913.88</v>
          </cell>
        </row>
        <row r="9">
          <cell r="D9" t="str">
            <v>Contabilidad</v>
          </cell>
          <cell r="E9" t="str">
            <v>Copiadoras</v>
          </cell>
          <cell r="F9">
            <v>26101.439999999999</v>
          </cell>
        </row>
        <row r="10">
          <cell r="D10" t="str">
            <v>Administración</v>
          </cell>
          <cell r="E10" t="str">
            <v>Copiadoras</v>
          </cell>
          <cell r="F10">
            <v>23212.32</v>
          </cell>
        </row>
        <row r="11">
          <cell r="D11" t="str">
            <v>Administración</v>
          </cell>
          <cell r="E11" t="str">
            <v>Copiadoras</v>
          </cell>
          <cell r="F11">
            <v>23212.32</v>
          </cell>
        </row>
        <row r="12">
          <cell r="D12" t="str">
            <v>Diseño</v>
          </cell>
          <cell r="E12" t="str">
            <v>Impresoras</v>
          </cell>
          <cell r="F12">
            <v>23239.439999999999</v>
          </cell>
        </row>
        <row r="13">
          <cell r="D13" t="str">
            <v>Diseño</v>
          </cell>
          <cell r="E13" t="str">
            <v>Fax</v>
          </cell>
          <cell r="F13">
            <v>23239.439999999999</v>
          </cell>
        </row>
        <row r="14">
          <cell r="D14" t="str">
            <v>Ingeniería</v>
          </cell>
          <cell r="E14" t="str">
            <v>Fax</v>
          </cell>
          <cell r="F14">
            <v>35480.400000000001</v>
          </cell>
        </row>
        <row r="15">
          <cell r="D15" t="str">
            <v>Ingeniería</v>
          </cell>
          <cell r="E15" t="str">
            <v>Fax</v>
          </cell>
          <cell r="F15">
            <v>21303.599999999999</v>
          </cell>
        </row>
        <row r="16">
          <cell r="D16" t="str">
            <v>Mercado</v>
          </cell>
          <cell r="E16" t="str">
            <v>Copiadoras</v>
          </cell>
          <cell r="F16">
            <v>35989.199999999997</v>
          </cell>
        </row>
        <row r="17">
          <cell r="D17" t="str">
            <v>Mercado</v>
          </cell>
          <cell r="E17" t="str">
            <v>Copiadoras</v>
          </cell>
          <cell r="F17">
            <v>33301.440000000002</v>
          </cell>
        </row>
        <row r="18">
          <cell r="D18" t="str">
            <v>I + D</v>
          </cell>
          <cell r="E18" t="str">
            <v>Fax</v>
          </cell>
          <cell r="F18">
            <v>37895.519999999997</v>
          </cell>
        </row>
        <row r="19">
          <cell r="D19" t="str">
            <v>Administración</v>
          </cell>
          <cell r="E19" t="str">
            <v>Fax</v>
          </cell>
          <cell r="F19">
            <v>24179.5</v>
          </cell>
        </row>
        <row r="20">
          <cell r="D20" t="str">
            <v>Diseño</v>
          </cell>
          <cell r="E20" t="str">
            <v>Copiadoras</v>
          </cell>
          <cell r="F20">
            <v>28859.25</v>
          </cell>
        </row>
        <row r="21">
          <cell r="D21" t="str">
            <v>Mercado</v>
          </cell>
          <cell r="E21" t="str">
            <v>Fax</v>
          </cell>
          <cell r="F21">
            <v>37488.75</v>
          </cell>
        </row>
        <row r="22">
          <cell r="D22" t="str">
            <v>Mercado</v>
          </cell>
          <cell r="E22" t="str">
            <v>Fax</v>
          </cell>
          <cell r="F22">
            <v>34689</v>
          </cell>
        </row>
        <row r="23">
          <cell r="D23" t="str">
            <v>Administración</v>
          </cell>
          <cell r="E23" t="str">
            <v>Impresoras</v>
          </cell>
          <cell r="F23">
            <v>25146.68</v>
          </cell>
        </row>
        <row r="24">
          <cell r="D24" t="str">
            <v>Diseño</v>
          </cell>
          <cell r="E24" t="str">
            <v>Copiadoras</v>
          </cell>
          <cell r="F24">
            <v>25176.06</v>
          </cell>
        </row>
        <row r="25">
          <cell r="D25" t="str">
            <v>Diseño</v>
          </cell>
          <cell r="E25" t="str">
            <v>Copiadoras</v>
          </cell>
          <cell r="F25">
            <v>30013.62</v>
          </cell>
        </row>
        <row r="26">
          <cell r="D26" t="str">
            <v>Ingeniería</v>
          </cell>
          <cell r="E26" t="str">
            <v>Impresoras</v>
          </cell>
          <cell r="F26">
            <v>25146.68</v>
          </cell>
        </row>
        <row r="27">
          <cell r="D27" t="str">
            <v>Ingeniería</v>
          </cell>
          <cell r="E27" t="str">
            <v>Fax</v>
          </cell>
          <cell r="F27">
            <v>51878.84</v>
          </cell>
        </row>
        <row r="28">
          <cell r="D28" t="str">
            <v>Mercado</v>
          </cell>
          <cell r="E28" t="str">
            <v>Copiadoras</v>
          </cell>
          <cell r="F28">
            <v>26040.560000000001</v>
          </cell>
        </row>
        <row r="29">
          <cell r="D29" t="str">
            <v>I + D</v>
          </cell>
          <cell r="E29" t="str">
            <v>Copiadoras</v>
          </cell>
          <cell r="F29">
            <v>41053.480000000003</v>
          </cell>
        </row>
        <row r="30">
          <cell r="D30" t="str">
            <v>Administración</v>
          </cell>
          <cell r="E30" t="str">
            <v>Fax</v>
          </cell>
          <cell r="F30">
            <v>26113.86</v>
          </cell>
        </row>
        <row r="31">
          <cell r="D31" t="str">
            <v>Contabilidad</v>
          </cell>
          <cell r="E31" t="str">
            <v>Impresoras</v>
          </cell>
          <cell r="F31">
            <v>30451.68</v>
          </cell>
        </row>
        <row r="32">
          <cell r="D32" t="str">
            <v>Contabilidad</v>
          </cell>
          <cell r="E32" t="str">
            <v>Impresoras</v>
          </cell>
          <cell r="F32">
            <v>26646.2</v>
          </cell>
        </row>
      </sheetData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A"/>
      <sheetName val="Datos B"/>
      <sheetName val="Resumen de escenario"/>
      <sheetName val="Escenarios"/>
      <sheetName val="Funciòn Anidada (1)"/>
      <sheetName val="Función Anidada (2)"/>
      <sheetName val="Función Anidada (3)"/>
      <sheetName val="Función Estadìstica (1)"/>
      <sheetName val="Función Estadìstica (2)"/>
      <sheetName val="Ejercicio FIN01"/>
      <sheetName val="Ejercicio FIN02"/>
      <sheetName val="Ejercicio FIN03"/>
      <sheetName val="Ejercicio FIN04"/>
      <sheetName val="Ejercicio FIN05"/>
      <sheetName val="Ejercicio FIN06"/>
      <sheetName val="Ejercicio FIN07"/>
    </sheetNames>
    <sheetDataSet>
      <sheetData sheetId="0">
        <row r="41">
          <cell r="A41" t="str">
            <v>1000-110</v>
          </cell>
          <cell r="B41">
            <v>0.90985492518146183</v>
          </cell>
          <cell r="C41" t="str">
            <v>Bodegas Vargas y Vargas</v>
          </cell>
          <cell r="D41" t="str">
            <v>C/ San Pablo, 12</v>
          </cell>
          <cell r="E41" t="str">
            <v>Sevilla</v>
          </cell>
          <cell r="G41" t="str">
            <v>548439</v>
          </cell>
          <cell r="H41" t="str">
            <v>España</v>
          </cell>
          <cell r="I41" t="str">
            <v>(345) 555 12 12</v>
          </cell>
          <cell r="K41">
            <v>35678</v>
          </cell>
          <cell r="L41">
            <v>11724</v>
          </cell>
          <cell r="M41" t="str">
            <v>1000-1005</v>
          </cell>
          <cell r="N41">
            <v>345</v>
          </cell>
          <cell r="O41" t="str">
            <v>ALONSO</v>
          </cell>
          <cell r="P41" t="str">
            <v>Centro</v>
          </cell>
        </row>
        <row r="42">
          <cell r="A42" t="str">
            <v>1000-112</v>
          </cell>
          <cell r="B42">
            <v>0.20144828853409358</v>
          </cell>
          <cell r="C42" t="str">
            <v>Caesar's Mediterranean Imports</v>
          </cell>
          <cell r="D42" t="str">
            <v>9308 Dartridge Ave.</v>
          </cell>
          <cell r="E42" t="str">
            <v>San Francisco</v>
          </cell>
          <cell r="F42" t="str">
            <v>CA</v>
          </cell>
          <cell r="G42" t="str">
            <v>728573</v>
          </cell>
          <cell r="H42" t="str">
            <v>EE.UU.</v>
          </cell>
          <cell r="I42" t="str">
            <v>(415) 555-6840</v>
          </cell>
          <cell r="J42" t="str">
            <v>(415) 555-4843</v>
          </cell>
          <cell r="K42">
            <v>35843</v>
          </cell>
          <cell r="L42">
            <v>4569</v>
          </cell>
          <cell r="M42" t="str">
            <v>1000-1017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1000-123</v>
          </cell>
          <cell r="B43">
            <v>0.62203581672220754</v>
          </cell>
          <cell r="C43" t="str">
            <v>Franca y Soledad Importadores</v>
          </cell>
          <cell r="D43" t="str">
            <v>C/ Valencia, 34</v>
          </cell>
          <cell r="E43" t="str">
            <v>Madrid</v>
          </cell>
          <cell r="G43" t="str">
            <v>1719310</v>
          </cell>
          <cell r="H43" t="str">
            <v>España</v>
          </cell>
          <cell r="I43" t="str">
            <v>(341) 555 33 23</v>
          </cell>
          <cell r="J43" t="str">
            <v>(341) 555 47 20</v>
          </cell>
          <cell r="K43">
            <v>35503</v>
          </cell>
          <cell r="L43">
            <v>14473</v>
          </cell>
          <cell r="M43" t="str">
            <v>1000-1002</v>
          </cell>
          <cell r="N43">
            <v>345</v>
          </cell>
          <cell r="O43" t="str">
            <v>ALONSO</v>
          </cell>
          <cell r="P43" t="str">
            <v>Centro</v>
          </cell>
        </row>
        <row r="44">
          <cell r="A44" t="str">
            <v>1000-136</v>
          </cell>
          <cell r="B44">
            <v>0.63586519231418226</v>
          </cell>
          <cell r="C44" t="str">
            <v>Hungo y Rivera Supermercado</v>
          </cell>
          <cell r="D44" t="str">
            <v>Mataderos  2312, Apto. 444</v>
          </cell>
          <cell r="E44" t="str">
            <v>México D.F.</v>
          </cell>
          <cell r="G44" t="str">
            <v>2890181</v>
          </cell>
          <cell r="H44" t="str">
            <v>México</v>
          </cell>
          <cell r="I44" t="str">
            <v>(5) 555-3932</v>
          </cell>
          <cell r="K44">
            <v>35867</v>
          </cell>
          <cell r="L44">
            <v>7488</v>
          </cell>
          <cell r="M44" t="str">
            <v>1000-1034</v>
          </cell>
          <cell r="N44">
            <v>896</v>
          </cell>
          <cell r="O44" t="str">
            <v>INFANTE</v>
          </cell>
          <cell r="P44" t="str">
            <v>Central</v>
          </cell>
        </row>
        <row r="45">
          <cell r="A45" t="str">
            <v>1000-115</v>
          </cell>
          <cell r="B45">
            <v>9.6867843582222557E-2</v>
          </cell>
          <cell r="C45" t="str">
            <v>Contenedores Internacionales</v>
          </cell>
          <cell r="D45" t="str">
            <v>C/ Moralzarzal, 86</v>
          </cell>
          <cell r="E45" t="str">
            <v>Madrid</v>
          </cell>
          <cell r="G45" t="str">
            <v>998774</v>
          </cell>
          <cell r="H45" t="str">
            <v>España</v>
          </cell>
          <cell r="I45" t="str">
            <v>(341) 555 22 82</v>
          </cell>
          <cell r="J45" t="str">
            <v>(341) 555 91 99</v>
          </cell>
          <cell r="K45">
            <v>35720</v>
          </cell>
          <cell r="L45">
            <v>1362</v>
          </cell>
          <cell r="M45" t="str">
            <v>1000-1007</v>
          </cell>
          <cell r="N45">
            <v>345</v>
          </cell>
          <cell r="O45" t="str">
            <v>ALONSO</v>
          </cell>
          <cell r="P45" t="str">
            <v>Costa Mediterranea</v>
          </cell>
        </row>
        <row r="46">
          <cell r="A46" t="str">
            <v>1000-107</v>
          </cell>
          <cell r="B46">
            <v>9.5742164163686638E-2</v>
          </cell>
          <cell r="C46" t="str">
            <v>Blum Granja Avícola</v>
          </cell>
          <cell r="D46" t="str">
            <v>C/ Araquil, 67, Aravaca</v>
          </cell>
          <cell r="E46" t="str">
            <v>Madrid</v>
          </cell>
          <cell r="G46" t="str">
            <v>278238</v>
          </cell>
          <cell r="H46" t="str">
            <v>España</v>
          </cell>
          <cell r="I46" t="str">
            <v>(341) 555 30 13</v>
          </cell>
          <cell r="K46">
            <v>35838</v>
          </cell>
          <cell r="L46">
            <v>7488</v>
          </cell>
          <cell r="M46" t="str">
            <v>1000-1014</v>
          </cell>
          <cell r="N46">
            <v>345</v>
          </cell>
          <cell r="O46" t="str">
            <v>ALONSO</v>
          </cell>
          <cell r="P46" t="str">
            <v>Costa Norte</v>
          </cell>
        </row>
        <row r="47">
          <cell r="A47" t="str">
            <v>1000-124</v>
          </cell>
          <cell r="B47">
            <v>0.22508302880020281</v>
          </cell>
          <cell r="C47" t="str">
            <v>Fred's Edibles, Etc.</v>
          </cell>
          <cell r="D47" t="str">
            <v>1522 College Blvd.</v>
          </cell>
          <cell r="E47" t="str">
            <v>Bellingham</v>
          </cell>
          <cell r="F47" t="str">
            <v>WA</v>
          </cell>
          <cell r="G47" t="str">
            <v>1809377</v>
          </cell>
          <cell r="H47" t="str">
            <v>EE.UU.</v>
          </cell>
          <cell r="I47" t="str">
            <v>(206) 555-4924</v>
          </cell>
          <cell r="K47">
            <v>35855</v>
          </cell>
          <cell r="L47">
            <v>15222</v>
          </cell>
          <cell r="M47" t="str">
            <v>1000-1027</v>
          </cell>
          <cell r="N47">
            <v>195</v>
          </cell>
          <cell r="O47" t="str">
            <v>LUTHER</v>
          </cell>
          <cell r="P47" t="str">
            <v>Costa Mediterranea</v>
          </cell>
        </row>
        <row r="48">
          <cell r="A48" t="str">
            <v>1000-100</v>
          </cell>
          <cell r="B48">
            <v>0.87315822454621994</v>
          </cell>
          <cell r="C48" t="str">
            <v>Always Open Quick Mart</v>
          </cell>
          <cell r="D48" t="str">
            <v>77 Overpass Ave.</v>
          </cell>
          <cell r="E48" t="str">
            <v>Provo</v>
          </cell>
          <cell r="F48" t="str">
            <v>UT</v>
          </cell>
          <cell r="G48" t="str">
            <v>84604</v>
          </cell>
          <cell r="H48" t="str">
            <v>EE.UU.</v>
          </cell>
          <cell r="I48" t="str">
            <v>(801) 555-7424</v>
          </cell>
          <cell r="J48" t="str">
            <v>(801) 555-6851</v>
          </cell>
          <cell r="K48">
            <v>35831</v>
          </cell>
          <cell r="L48">
            <v>4569</v>
          </cell>
          <cell r="M48" t="str">
            <v>1000-1009</v>
          </cell>
          <cell r="N48">
            <v>195</v>
          </cell>
          <cell r="O48" t="str">
            <v>LUTHER</v>
          </cell>
          <cell r="P48" t="str">
            <v>este</v>
          </cell>
        </row>
        <row r="49">
          <cell r="A49" t="str">
            <v>1000-121</v>
          </cell>
          <cell r="B49">
            <v>0.57777597436472927</v>
          </cell>
          <cell r="C49" t="str">
            <v>Fitzgerald's Deli and Video</v>
          </cell>
          <cell r="D49" t="str">
            <v>Eastgate Center, 14 E. Eastway Dr.</v>
          </cell>
          <cell r="E49" t="str">
            <v>Bellevue</v>
          </cell>
          <cell r="F49" t="str">
            <v>WA</v>
          </cell>
          <cell r="G49" t="str">
            <v>1539176</v>
          </cell>
          <cell r="H49" t="str">
            <v>EE.UU.</v>
          </cell>
          <cell r="I49" t="str">
            <v>(206) 555-5575</v>
          </cell>
          <cell r="J49" t="str">
            <v>(206) 555-7624</v>
          </cell>
          <cell r="K49">
            <v>35852</v>
          </cell>
          <cell r="L49">
            <v>8975</v>
          </cell>
          <cell r="M49" t="str">
            <v>1000-1025</v>
          </cell>
          <cell r="N49">
            <v>195</v>
          </cell>
          <cell r="O49" t="str">
            <v>LUTHER</v>
          </cell>
          <cell r="P49" t="str">
            <v>este</v>
          </cell>
        </row>
        <row r="50">
          <cell r="A50" t="str">
            <v>1000-116</v>
          </cell>
          <cell r="B50">
            <v>0.5504188210077321</v>
          </cell>
          <cell r="C50" t="str">
            <v>Dollarwise Convenience Store</v>
          </cell>
          <cell r="D50" t="str">
            <v>98 N. Hyde Dr.</v>
          </cell>
          <cell r="E50" t="str">
            <v>San Francisco</v>
          </cell>
          <cell r="F50" t="str">
            <v>CA</v>
          </cell>
          <cell r="G50" t="str">
            <v>1088841</v>
          </cell>
          <cell r="H50" t="str">
            <v>EE.UU.</v>
          </cell>
          <cell r="I50" t="str">
            <v>(415) 555-7357</v>
          </cell>
          <cell r="K50">
            <v>35847</v>
          </cell>
          <cell r="L50">
            <v>5687</v>
          </cell>
          <cell r="M50" t="str">
            <v>1000-1020</v>
          </cell>
          <cell r="N50">
            <v>195</v>
          </cell>
          <cell r="O50" t="str">
            <v>LUTHER</v>
          </cell>
          <cell r="P50" t="str">
            <v>Costa Norte</v>
          </cell>
        </row>
        <row r="51">
          <cell r="A51" t="str">
            <v>1000-131</v>
          </cell>
          <cell r="B51">
            <v>0.95419814563276351</v>
          </cell>
          <cell r="C51" t="str">
            <v>Great Lakes Food Market</v>
          </cell>
          <cell r="D51" t="str">
            <v>2732 Baker Blvd.</v>
          </cell>
          <cell r="E51" t="str">
            <v>Eugene</v>
          </cell>
          <cell r="F51" t="str">
            <v>OR</v>
          </cell>
          <cell r="G51" t="str">
            <v>2439846</v>
          </cell>
          <cell r="H51" t="str">
            <v>EE.UU.</v>
          </cell>
          <cell r="I51" t="str">
            <v>(503) 555-7555</v>
          </cell>
          <cell r="K51">
            <v>35900</v>
          </cell>
          <cell r="L51">
            <v>6226</v>
          </cell>
          <cell r="M51" t="str">
            <v>1000-1035</v>
          </cell>
          <cell r="N51">
            <v>195</v>
          </cell>
          <cell r="O51" t="str">
            <v>LUTHER</v>
          </cell>
          <cell r="P51" t="str">
            <v>norte</v>
          </cell>
        </row>
        <row r="52">
          <cell r="A52" t="str">
            <v>1000-127</v>
          </cell>
          <cell r="B52">
            <v>5.4424289085094779E-2</v>
          </cell>
          <cell r="C52" t="str">
            <v>Fujiwara Asian Specialties</v>
          </cell>
          <cell r="D52" t="str">
            <v>72 Dowlin Pkwy.</v>
          </cell>
          <cell r="E52" t="str">
            <v>Phoenix</v>
          </cell>
          <cell r="F52" t="str">
            <v>AZ</v>
          </cell>
          <cell r="G52" t="str">
            <v>2079578</v>
          </cell>
          <cell r="H52" t="str">
            <v>EE.UU.</v>
          </cell>
          <cell r="I52" t="str">
            <v>(602) 555-5648</v>
          </cell>
          <cell r="J52" t="str">
            <v>(602) 555-4937</v>
          </cell>
          <cell r="K52">
            <v>35858</v>
          </cell>
          <cell r="L52">
            <v>5687</v>
          </cell>
          <cell r="M52" t="str">
            <v>1000-1029</v>
          </cell>
          <cell r="N52">
            <v>195</v>
          </cell>
          <cell r="O52" t="str">
            <v>LUTHER</v>
          </cell>
          <cell r="P52" t="str">
            <v>este</v>
          </cell>
        </row>
        <row r="53">
          <cell r="A53" t="str">
            <v>1000-132</v>
          </cell>
          <cell r="B53">
            <v>0.39131525937039058</v>
          </cell>
          <cell r="C53" t="str">
            <v>Gruenewald Delikatessen</v>
          </cell>
          <cell r="D53" t="str">
            <v>3344 Byerly St., Suite 5</v>
          </cell>
          <cell r="E53" t="str">
            <v>Berkeley</v>
          </cell>
          <cell r="F53" t="str">
            <v>CA</v>
          </cell>
          <cell r="G53" t="str">
            <v>2529913</v>
          </cell>
          <cell r="H53" t="str">
            <v>EE.UU.</v>
          </cell>
          <cell r="I53" t="str">
            <v>(415) 555-6797</v>
          </cell>
          <cell r="K53">
            <v>35863</v>
          </cell>
          <cell r="L53">
            <v>1362</v>
          </cell>
          <cell r="M53" t="str">
            <v>1000-1031</v>
          </cell>
          <cell r="N53">
            <v>195</v>
          </cell>
          <cell r="O53" t="str">
            <v>LUTHER</v>
          </cell>
          <cell r="P53" t="str">
            <v>sur</v>
          </cell>
        </row>
        <row r="54">
          <cell r="A54" t="str">
            <v>1000-106</v>
          </cell>
          <cell r="B54">
            <v>0.53669528715651804</v>
          </cell>
          <cell r="C54" t="str">
            <v>Blue Lake Deli &amp; Grocery</v>
          </cell>
          <cell r="D54" t="str">
            <v>210 Main St.</v>
          </cell>
          <cell r="E54" t="str">
            <v>Port Townsend</v>
          </cell>
          <cell r="F54" t="str">
            <v>WA</v>
          </cell>
          <cell r="G54" t="str">
            <v>188171</v>
          </cell>
          <cell r="H54" t="str">
            <v>EE.UU.</v>
          </cell>
          <cell r="I54" t="str">
            <v>(206) 555-3044</v>
          </cell>
          <cell r="J54" t="str">
            <v>(206) 555-4247</v>
          </cell>
          <cell r="K54">
            <v>35957</v>
          </cell>
          <cell r="L54">
            <v>8750</v>
          </cell>
          <cell r="M54" t="str">
            <v>1000-1036</v>
          </cell>
          <cell r="N54">
            <v>195</v>
          </cell>
          <cell r="O54" t="str">
            <v>LUTHER</v>
          </cell>
          <cell r="P54" t="str">
            <v>oeste</v>
          </cell>
        </row>
        <row r="55">
          <cell r="A55" t="str">
            <v>1000-113</v>
          </cell>
          <cell r="B55">
            <v>0.63496869333303008</v>
          </cell>
          <cell r="C55" t="str">
            <v>Cheap Chow Markets</v>
          </cell>
          <cell r="D55" t="str">
            <v>1225 Zephyrus Rd.</v>
          </cell>
          <cell r="E55" t="str">
            <v>Anacortes</v>
          </cell>
          <cell r="F55" t="str">
            <v>WA</v>
          </cell>
          <cell r="G55" t="str">
            <v>818640</v>
          </cell>
          <cell r="H55" t="str">
            <v>EE.UU.</v>
          </cell>
          <cell r="I55" t="str">
            <v>(206) 555-8647</v>
          </cell>
          <cell r="J55" t="str">
            <v>(206) 555-9928</v>
          </cell>
          <cell r="K55">
            <v>35844</v>
          </cell>
          <cell r="L55">
            <v>3500</v>
          </cell>
          <cell r="M55" t="str">
            <v>1000-1018</v>
          </cell>
          <cell r="N55">
            <v>195</v>
          </cell>
          <cell r="O55" t="str">
            <v>LUTHER</v>
          </cell>
          <cell r="P55" t="str">
            <v>sur</v>
          </cell>
        </row>
        <row r="56">
          <cell r="A56" t="str">
            <v>1000-111</v>
          </cell>
          <cell r="B56">
            <v>0.89654720713659852</v>
          </cell>
          <cell r="C56" t="str">
            <v>Cactus Pete's Family Market</v>
          </cell>
          <cell r="D56" t="str">
            <v>87 Yuca Dr.</v>
          </cell>
          <cell r="E56" t="str">
            <v>Albuquerque</v>
          </cell>
          <cell r="F56" t="str">
            <v>NM</v>
          </cell>
          <cell r="G56" t="str">
            <v>638506</v>
          </cell>
          <cell r="H56" t="str">
            <v>EE.UU.</v>
          </cell>
          <cell r="I56" t="str">
            <v>(505) 555-2953</v>
          </cell>
          <cell r="J56" t="str">
            <v>(505) 555-9987</v>
          </cell>
          <cell r="K56">
            <v>35842</v>
          </cell>
          <cell r="L56">
            <v>14473</v>
          </cell>
          <cell r="M56" t="str">
            <v>1000-1016</v>
          </cell>
          <cell r="N56">
            <v>195</v>
          </cell>
          <cell r="O56" t="str">
            <v>LUTHER</v>
          </cell>
          <cell r="P56" t="str">
            <v>Costa Mediterranea</v>
          </cell>
        </row>
        <row r="57">
          <cell r="A57" t="str">
            <v>1000-138</v>
          </cell>
          <cell r="B57">
            <v>0.25335439215189054</v>
          </cell>
          <cell r="C57" t="str">
            <v>King Productos Alimenticios</v>
          </cell>
          <cell r="D57" t="str">
            <v>C/ Romero, 33</v>
          </cell>
          <cell r="E57" t="str">
            <v>Sevilla</v>
          </cell>
          <cell r="G57" t="str">
            <v>3070315</v>
          </cell>
          <cell r="H57" t="str">
            <v>España</v>
          </cell>
          <cell r="I57" t="str">
            <v>(345) 555 82 82</v>
          </cell>
          <cell r="K57">
            <v>36234</v>
          </cell>
          <cell r="L57">
            <v>4964</v>
          </cell>
          <cell r="M57" t="str">
            <v>1000-1039</v>
          </cell>
          <cell r="N57">
            <v>345</v>
          </cell>
          <cell r="O57" t="str">
            <v>ALONSO</v>
          </cell>
          <cell r="P57" t="str">
            <v>Centro</v>
          </cell>
        </row>
        <row r="58">
          <cell r="A58" t="str">
            <v>1000-137</v>
          </cell>
          <cell r="B58">
            <v>4.338071758396822E-2</v>
          </cell>
          <cell r="C58" t="str">
            <v>Isla Teodoro Supermercado</v>
          </cell>
          <cell r="D58" t="str">
            <v>C/ de las Rosas 22</v>
          </cell>
          <cell r="E58" t="str">
            <v>Madrid</v>
          </cell>
          <cell r="G58" t="str">
            <v>2980248</v>
          </cell>
          <cell r="H58" t="str">
            <v>España</v>
          </cell>
          <cell r="I58" t="str">
            <v>(341) 555 88 88</v>
          </cell>
          <cell r="K58">
            <v>36205</v>
          </cell>
          <cell r="L58">
            <v>6226</v>
          </cell>
          <cell r="M58" t="str">
            <v>1000-1038</v>
          </cell>
          <cell r="N58">
            <v>345</v>
          </cell>
          <cell r="O58" t="str">
            <v>ALONSO</v>
          </cell>
          <cell r="P58" t="str">
            <v>Costa Norte</v>
          </cell>
        </row>
        <row r="59">
          <cell r="A59" t="str">
            <v>1000-134</v>
          </cell>
          <cell r="B59">
            <v>9.4512546210102411E-2</v>
          </cell>
          <cell r="C59" t="str">
            <v>Highbridge Gourmet Shoppe</v>
          </cell>
          <cell r="D59" t="str">
            <v>361 Pitt St.</v>
          </cell>
          <cell r="E59" t="str">
            <v>Jamaica</v>
          </cell>
          <cell r="F59" t="str">
            <v>NY</v>
          </cell>
          <cell r="G59" t="str">
            <v>2710047</v>
          </cell>
          <cell r="H59" t="str">
            <v>EE.UU.</v>
          </cell>
          <cell r="I59" t="str">
            <v>(607) 555-9947</v>
          </cell>
          <cell r="J59" t="str">
            <v>(607) 555-5387</v>
          </cell>
          <cell r="K59">
            <v>35865</v>
          </cell>
          <cell r="L59">
            <v>10012</v>
          </cell>
          <cell r="M59" t="str">
            <v>1000-1032</v>
          </cell>
          <cell r="N59">
            <v>195</v>
          </cell>
          <cell r="O59" t="str">
            <v>LUTHER</v>
          </cell>
          <cell r="P59" t="str">
            <v>Costa Norte</v>
          </cell>
        </row>
        <row r="60">
          <cell r="A60" t="str">
            <v>1000-105</v>
          </cell>
          <cell r="B60">
            <v>0.8726530259940084</v>
          </cell>
          <cell r="C60" t="str">
            <v>Bergstad's Scandinavian Grocery</v>
          </cell>
          <cell r="D60" t="str">
            <v>41 S. Marlon St., Suite 2</v>
          </cell>
          <cell r="E60" t="str">
            <v>Seattle</v>
          </cell>
          <cell r="F60" t="str">
            <v>WA</v>
          </cell>
          <cell r="G60" t="str">
            <v>98104</v>
          </cell>
          <cell r="H60" t="str">
            <v>EE.UU.</v>
          </cell>
          <cell r="I60" t="str">
            <v>(206) 555-3453</v>
          </cell>
          <cell r="J60" t="str">
            <v>(206) 555-8832</v>
          </cell>
          <cell r="K60">
            <v>35836</v>
          </cell>
          <cell r="L60">
            <v>10012</v>
          </cell>
          <cell r="M60" t="str">
            <v>1000-1013</v>
          </cell>
          <cell r="N60">
            <v>195</v>
          </cell>
          <cell r="O60" t="str">
            <v>LUTHER</v>
          </cell>
          <cell r="P60" t="str">
            <v>sur</v>
          </cell>
        </row>
      </sheetData>
      <sheetData sheetId="1">
        <row r="28">
          <cell r="A28" t="str">
            <v>1000-135</v>
          </cell>
          <cell r="B28">
            <v>0.41904332941577377</v>
          </cell>
          <cell r="C28" t="str">
            <v>Hungry Coyote Import Store</v>
          </cell>
          <cell r="D28" t="str">
            <v>City Center Plaza, 516 Main St.</v>
          </cell>
          <cell r="E28" t="str">
            <v>Elgin</v>
          </cell>
          <cell r="F28" t="str">
            <v>OR</v>
          </cell>
          <cell r="G28" t="str">
            <v>2800114</v>
          </cell>
          <cell r="H28" t="str">
            <v>EE.UU.</v>
          </cell>
          <cell r="I28" t="str">
            <v>(503) 555-6874</v>
          </cell>
          <cell r="J28" t="str">
            <v>(503) 555-2376</v>
          </cell>
          <cell r="K28">
            <v>35866</v>
          </cell>
          <cell r="L28">
            <v>8750</v>
          </cell>
          <cell r="M28" t="str">
            <v>1000-1033</v>
          </cell>
          <cell r="N28">
            <v>195</v>
          </cell>
          <cell r="O28" t="str">
            <v>LUTHER</v>
          </cell>
          <cell r="P28" t="str">
            <v>sur</v>
          </cell>
        </row>
        <row r="29">
          <cell r="A29" t="str">
            <v>1000-114</v>
          </cell>
          <cell r="B29">
            <v>0.23886422368838023</v>
          </cell>
          <cell r="C29" t="str">
            <v>Compañía Norte-Sur</v>
          </cell>
          <cell r="D29" t="str">
            <v>Cami Baix de Tana, Alella</v>
          </cell>
          <cell r="E29" t="str">
            <v>Barcelona</v>
          </cell>
          <cell r="G29" t="str">
            <v>908707</v>
          </cell>
          <cell r="H29" t="str">
            <v>España</v>
          </cell>
          <cell r="I29" t="str">
            <v>(343) 555 88 88</v>
          </cell>
          <cell r="J29" t="str">
            <v>(343) 555 13 54</v>
          </cell>
          <cell r="K29">
            <v>35845</v>
          </cell>
          <cell r="L29">
            <v>2431</v>
          </cell>
          <cell r="M29" t="str">
            <v>1000-1019</v>
          </cell>
          <cell r="N29">
            <v>345</v>
          </cell>
          <cell r="O29" t="str">
            <v>ALONSO</v>
          </cell>
          <cell r="P29" t="str">
            <v>Centro</v>
          </cell>
        </row>
        <row r="30">
          <cell r="A30" t="str">
            <v>1000-139</v>
          </cell>
          <cell r="B30">
            <v>0.40481232371698872</v>
          </cell>
          <cell r="C30" t="str">
            <v>La Playa Mini Mart</v>
          </cell>
          <cell r="D30" t="str">
            <v>2044 Seahorse Bay Rd.</v>
          </cell>
          <cell r="E30" t="str">
            <v>Port Townsend</v>
          </cell>
          <cell r="F30" t="str">
            <v>WA</v>
          </cell>
          <cell r="G30" t="str">
            <v>3160382</v>
          </cell>
          <cell r="H30" t="str">
            <v>EE.UU.</v>
          </cell>
          <cell r="I30" t="str">
            <v>(206) 555-8274</v>
          </cell>
          <cell r="K30">
            <v>36266</v>
          </cell>
          <cell r="L30">
            <v>3702</v>
          </cell>
          <cell r="M30" t="str">
            <v>1000-1041</v>
          </cell>
          <cell r="N30">
            <v>195</v>
          </cell>
          <cell r="O30" t="str">
            <v>LUTHER</v>
          </cell>
          <cell r="P30" t="str">
            <v>norte</v>
          </cell>
        </row>
        <row r="31">
          <cell r="A31" t="str">
            <v>1000-109</v>
          </cell>
          <cell r="B31">
            <v>0.79713863434733545</v>
          </cell>
          <cell r="C31" t="str">
            <v>Botica Barrientos</v>
          </cell>
          <cell r="D31" t="str">
            <v>Avda. de la Constitución 2222</v>
          </cell>
          <cell r="E31" t="str">
            <v>México D.F.</v>
          </cell>
          <cell r="G31" t="str">
            <v>458372</v>
          </cell>
          <cell r="H31" t="str">
            <v>México</v>
          </cell>
          <cell r="I31" t="str">
            <v>(5) 555-4729</v>
          </cell>
          <cell r="J31" t="str">
            <v>(5) 555-3745</v>
          </cell>
          <cell r="K31">
            <v>35840</v>
          </cell>
          <cell r="L31">
            <v>8975</v>
          </cell>
          <cell r="M31" t="str">
            <v>1000-1015</v>
          </cell>
          <cell r="N31">
            <v>896</v>
          </cell>
          <cell r="O31" t="str">
            <v>INFANTE</v>
          </cell>
          <cell r="P31" t="str">
            <v>Central</v>
          </cell>
        </row>
        <row r="32">
          <cell r="A32" t="str">
            <v>1000-118</v>
          </cell>
          <cell r="B32">
            <v>0.34480343737076335</v>
          </cell>
          <cell r="C32" t="str">
            <v>Eastern Products S.A.</v>
          </cell>
          <cell r="D32" t="str">
            <v>P. De Gracia, 32</v>
          </cell>
          <cell r="E32" t="str">
            <v>Barcelona</v>
          </cell>
          <cell r="G32" t="str">
            <v>1268975</v>
          </cell>
          <cell r="H32" t="str">
            <v>España</v>
          </cell>
          <cell r="I32" t="str">
            <v>(343) 555 02 97</v>
          </cell>
          <cell r="J32" t="str">
            <v>(343) 555 33 73</v>
          </cell>
          <cell r="K32">
            <v>35849</v>
          </cell>
          <cell r="L32">
            <v>8750</v>
          </cell>
          <cell r="M32" t="str">
            <v>1000-1022</v>
          </cell>
          <cell r="N32">
            <v>345</v>
          </cell>
          <cell r="O32" t="str">
            <v>ALONSO</v>
          </cell>
          <cell r="P32" t="str">
            <v>Costa Mediterranea</v>
          </cell>
        </row>
        <row r="33">
          <cell r="A33" t="str">
            <v>1000-119</v>
          </cell>
          <cell r="B33">
            <v>0.52588541826690816</v>
          </cell>
          <cell r="C33" t="str">
            <v>Empresa El Torero</v>
          </cell>
          <cell r="D33" t="str">
            <v>Avda. Solís 477</v>
          </cell>
          <cell r="E33" t="str">
            <v>Madrid</v>
          </cell>
          <cell r="G33" t="str">
            <v>1359042</v>
          </cell>
          <cell r="H33" t="str">
            <v>España</v>
          </cell>
          <cell r="I33" t="str">
            <v>(341) 560 10 93</v>
          </cell>
          <cell r="K33">
            <v>35850</v>
          </cell>
          <cell r="L33">
            <v>7488</v>
          </cell>
          <cell r="M33" t="str">
            <v>1000-1023</v>
          </cell>
          <cell r="N33">
            <v>345</v>
          </cell>
          <cell r="O33" t="str">
            <v>ALONSO</v>
          </cell>
          <cell r="P33" t="str">
            <v>Costa Norte</v>
          </cell>
        </row>
        <row r="34">
          <cell r="A34" t="str">
            <v>1000-126</v>
          </cell>
          <cell r="B34">
            <v>0.17603534235710061</v>
          </cell>
          <cell r="C34" t="str">
            <v>Frugal Purse Strings</v>
          </cell>
          <cell r="D34" t="str">
            <v>418 Datablitz Ave.</v>
          </cell>
          <cell r="E34" t="str">
            <v>Pocatello</v>
          </cell>
          <cell r="F34" t="str">
            <v>ID</v>
          </cell>
          <cell r="G34" t="str">
            <v>1989511</v>
          </cell>
          <cell r="H34" t="str">
            <v>EE.UU.</v>
          </cell>
          <cell r="I34" t="str">
            <v>(208) 555-9787</v>
          </cell>
          <cell r="J34" t="str">
            <v>(208) 555-5573</v>
          </cell>
          <cell r="K34">
            <v>35688</v>
          </cell>
          <cell r="L34">
            <v>1362</v>
          </cell>
          <cell r="M34" t="str">
            <v>1000-1006</v>
          </cell>
          <cell r="N34">
            <v>195</v>
          </cell>
          <cell r="O34" t="str">
            <v>LUTHER</v>
          </cell>
          <cell r="P34" t="str">
            <v>norte</v>
          </cell>
        </row>
        <row r="35">
          <cell r="A35" t="str">
            <v>1000-102</v>
          </cell>
          <cell r="B35">
            <v>0.71020303005210783</v>
          </cell>
          <cell r="C35" t="str">
            <v>Anthony's Beer and Ale</v>
          </cell>
          <cell r="D35" t="str">
            <v>33 Neptune Circle</v>
          </cell>
          <cell r="E35" t="str">
            <v>Clifton Forge</v>
          </cell>
          <cell r="F35" t="str">
            <v>WA</v>
          </cell>
          <cell r="G35" t="str">
            <v>24422</v>
          </cell>
          <cell r="H35" t="str">
            <v>EE.UU.</v>
          </cell>
          <cell r="I35" t="str">
            <v>(509) 555-8647</v>
          </cell>
          <cell r="K35">
            <v>35833</v>
          </cell>
          <cell r="L35">
            <v>2431</v>
          </cell>
          <cell r="M35" t="str">
            <v>1000-1011</v>
          </cell>
          <cell r="N35">
            <v>195</v>
          </cell>
          <cell r="O35" t="str">
            <v>LUTHER</v>
          </cell>
          <cell r="P35" t="str">
            <v>oeste</v>
          </cell>
        </row>
        <row r="36">
          <cell r="A36" t="str">
            <v>1000-133</v>
          </cell>
          <cell r="B36">
            <v>0.31848927660586601</v>
          </cell>
          <cell r="C36" t="str">
            <v>Hangares La Serena</v>
          </cell>
          <cell r="D36" t="str">
            <v>C/ Príncipe de Vergara, 189</v>
          </cell>
          <cell r="E36" t="str">
            <v>Madrid</v>
          </cell>
          <cell r="G36" t="str">
            <v>2619980</v>
          </cell>
          <cell r="H36" t="str">
            <v>España</v>
          </cell>
          <cell r="I36" t="str">
            <v>(341) 555 93 99</v>
          </cell>
          <cell r="J36" t="str">
            <v>(341) 555 36 89</v>
          </cell>
          <cell r="K36">
            <v>35750</v>
          </cell>
          <cell r="L36">
            <v>5687</v>
          </cell>
          <cell r="M36" t="str">
            <v>1000-1008</v>
          </cell>
          <cell r="N36">
            <v>345</v>
          </cell>
          <cell r="O36" t="str">
            <v>ALONSO</v>
          </cell>
          <cell r="P36" t="str">
            <v>Costa Mediterranea</v>
          </cell>
        </row>
        <row r="37">
          <cell r="A37" t="str">
            <v>1000-120</v>
          </cell>
          <cell r="B37">
            <v>0.9320197993049959</v>
          </cell>
          <cell r="C37" t="str">
            <v>Family Corner Market</v>
          </cell>
          <cell r="D37" t="str">
            <v>4242 Maple Blvd.</v>
          </cell>
          <cell r="E37" t="str">
            <v>Granville</v>
          </cell>
          <cell r="F37" t="str">
            <v>WA</v>
          </cell>
          <cell r="G37" t="str">
            <v>1449109</v>
          </cell>
          <cell r="H37" t="str">
            <v>EE.UU.</v>
          </cell>
          <cell r="I37" t="str">
            <v>(509) 555-9938</v>
          </cell>
          <cell r="J37" t="str">
            <v>(509) 555-4733</v>
          </cell>
          <cell r="K37">
            <v>35851</v>
          </cell>
          <cell r="L37">
            <v>6226</v>
          </cell>
          <cell r="M37" t="str">
            <v>1000-1024</v>
          </cell>
          <cell r="N37">
            <v>195</v>
          </cell>
          <cell r="O37" t="str">
            <v>LUTHER</v>
          </cell>
          <cell r="P37" t="str">
            <v>norte</v>
          </cell>
        </row>
        <row r="38">
          <cell r="A38" t="str">
            <v>1000-117</v>
          </cell>
          <cell r="B38">
            <v>0.87456811693690772</v>
          </cell>
          <cell r="C38" t="str">
            <v>Duncan Hernández Ltda.</v>
          </cell>
          <cell r="D38" t="str">
            <v>Edificio Hernández, C/ El Remanso 91</v>
          </cell>
          <cell r="E38" t="str">
            <v>Madrid</v>
          </cell>
          <cell r="G38" t="str">
            <v>1178908</v>
          </cell>
          <cell r="H38" t="str">
            <v>España</v>
          </cell>
          <cell r="I38" t="str">
            <v>(341) 555 94 44</v>
          </cell>
          <cell r="J38" t="str">
            <v>(341) 555 55 93</v>
          </cell>
          <cell r="K38">
            <v>35848</v>
          </cell>
          <cell r="L38">
            <v>10012</v>
          </cell>
          <cell r="M38" t="str">
            <v>1000-1021</v>
          </cell>
          <cell r="N38">
            <v>345</v>
          </cell>
          <cell r="O38" t="str">
            <v>ALONSO</v>
          </cell>
          <cell r="P38" t="str">
            <v>Centro</v>
          </cell>
        </row>
        <row r="39">
          <cell r="A39" t="str">
            <v>1000-122</v>
          </cell>
          <cell r="B39">
            <v>0.54917123600618289</v>
          </cell>
          <cell r="C39" t="str">
            <v>Foodmongers, Inc.</v>
          </cell>
          <cell r="D39" t="str">
            <v>418 - 6th Ave.</v>
          </cell>
          <cell r="E39" t="str">
            <v>Walla Walla</v>
          </cell>
          <cell r="F39" t="str">
            <v>WA</v>
          </cell>
          <cell r="G39" t="str">
            <v>1629243</v>
          </cell>
          <cell r="H39" t="str">
            <v>EE.UU.</v>
          </cell>
          <cell r="I39" t="str">
            <v>(509) 555-7689</v>
          </cell>
          <cell r="J39" t="str">
            <v>(509) 555-9933</v>
          </cell>
          <cell r="K39">
            <v>35853</v>
          </cell>
          <cell r="L39">
            <v>11724</v>
          </cell>
          <cell r="M39" t="str">
            <v>1000-1026</v>
          </cell>
          <cell r="N39">
            <v>195</v>
          </cell>
          <cell r="O39" t="str">
            <v>LUTHER</v>
          </cell>
          <cell r="P39" t="str">
            <v>oeste</v>
          </cell>
        </row>
        <row r="40">
          <cell r="A40" t="str">
            <v>1000-101</v>
          </cell>
          <cell r="B40">
            <v>0.19341196171775299</v>
          </cell>
          <cell r="C40" t="str">
            <v>Andre's Continental Food Market</v>
          </cell>
          <cell r="D40" t="str">
            <v>P.O. Box 209</v>
          </cell>
          <cell r="E40" t="str">
            <v>Bellingham</v>
          </cell>
          <cell r="F40" t="str">
            <v>WA</v>
          </cell>
          <cell r="G40" t="str">
            <v>98226</v>
          </cell>
          <cell r="H40" t="str">
            <v>EE.UU.</v>
          </cell>
          <cell r="I40" t="str">
            <v>(206) 555-9574</v>
          </cell>
          <cell r="J40" t="str">
            <v>(206) 555-3541</v>
          </cell>
          <cell r="K40">
            <v>35832</v>
          </cell>
          <cell r="L40">
            <v>3500</v>
          </cell>
          <cell r="M40" t="str">
            <v>1000-1010</v>
          </cell>
          <cell r="N40">
            <v>195</v>
          </cell>
          <cell r="O40" t="str">
            <v>LUTHER</v>
          </cell>
          <cell r="P40" t="str">
            <v>norte</v>
          </cell>
        </row>
        <row r="41">
          <cell r="A41" t="str">
            <v>1000-129</v>
          </cell>
          <cell r="B41">
            <v>0.41602541412684202</v>
          </cell>
          <cell r="C41" t="str">
            <v>Gorham Street Co-op</v>
          </cell>
          <cell r="D41" t="str">
            <v>511 Lincoln Ave.</v>
          </cell>
          <cell r="E41" t="str">
            <v>Burns</v>
          </cell>
          <cell r="F41" t="str">
            <v>OR</v>
          </cell>
          <cell r="G41" t="str">
            <v>2259712</v>
          </cell>
          <cell r="H41" t="str">
            <v>EE.UU.</v>
          </cell>
          <cell r="I41" t="str">
            <v>(503) 555-7080</v>
          </cell>
          <cell r="K41">
            <v>36145</v>
          </cell>
          <cell r="L41">
            <v>8750</v>
          </cell>
          <cell r="M41" t="str">
            <v>1000-1037</v>
          </cell>
          <cell r="N41">
            <v>195</v>
          </cell>
          <cell r="O41" t="str">
            <v>LUTHER</v>
          </cell>
          <cell r="P41" t="str">
            <v>este</v>
          </cell>
        </row>
        <row r="42">
          <cell r="A42" t="str">
            <v>1000-125</v>
          </cell>
          <cell r="B42">
            <v>0.75175284679180909</v>
          </cell>
          <cell r="C42" t="str">
            <v>Frugal Feast Comestibles</v>
          </cell>
          <cell r="D42" t="str">
            <v>Evans Plaza, 531 - 2nd Ave.</v>
          </cell>
          <cell r="E42" t="str">
            <v>Eugene</v>
          </cell>
          <cell r="F42" t="str">
            <v>OR</v>
          </cell>
          <cell r="G42" t="str">
            <v>1899444</v>
          </cell>
          <cell r="H42" t="str">
            <v>EE.UU.</v>
          </cell>
          <cell r="I42" t="str">
            <v>(503) 555-5831</v>
          </cell>
          <cell r="K42">
            <v>35856</v>
          </cell>
          <cell r="L42">
            <v>15971</v>
          </cell>
          <cell r="M42" t="str">
            <v>1000-1028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1000-108</v>
          </cell>
          <cell r="B43">
            <v>0.49512125156647463</v>
          </cell>
          <cell r="C43" t="str">
            <v>Bobcat Mesa Western Gifts</v>
          </cell>
          <cell r="D43" t="str">
            <v>213 E. Roy St.</v>
          </cell>
          <cell r="E43" t="str">
            <v>Seattle</v>
          </cell>
          <cell r="F43" t="str">
            <v>WA</v>
          </cell>
          <cell r="G43" t="str">
            <v>368305</v>
          </cell>
          <cell r="H43" t="str">
            <v>EE.UU.</v>
          </cell>
          <cell r="I43" t="str">
            <v>(206) 555-4747</v>
          </cell>
          <cell r="K43">
            <v>35646</v>
          </cell>
          <cell r="L43">
            <v>6226</v>
          </cell>
          <cell r="M43" t="str">
            <v>1000-1004</v>
          </cell>
          <cell r="N43">
            <v>195</v>
          </cell>
          <cell r="O43" t="str">
            <v>LUTHER</v>
          </cell>
          <cell r="P43" t="str">
            <v>norte</v>
          </cell>
        </row>
        <row r="44">
          <cell r="A44" t="str">
            <v>1000-130</v>
          </cell>
          <cell r="B44">
            <v>0.99691913971547019</v>
          </cell>
          <cell r="C44" t="str">
            <v>Gourmet Grub, Etc.</v>
          </cell>
          <cell r="D44" t="str">
            <v>12870 Bellevue-Redmond Rd.</v>
          </cell>
          <cell r="E44" t="str">
            <v>Bellevue</v>
          </cell>
          <cell r="F44" t="str">
            <v>WA</v>
          </cell>
          <cell r="G44" t="str">
            <v>2349779</v>
          </cell>
          <cell r="H44" t="str">
            <v>EE.UU.</v>
          </cell>
          <cell r="I44" t="str">
            <v>(206) 555-7198</v>
          </cell>
          <cell r="J44" t="str">
            <v>(206) 555-2817</v>
          </cell>
          <cell r="K44">
            <v>36238</v>
          </cell>
          <cell r="L44">
            <v>7488</v>
          </cell>
          <cell r="M44" t="str">
            <v>1000-1040</v>
          </cell>
          <cell r="N44">
            <v>195</v>
          </cell>
          <cell r="O44" t="str">
            <v>LUTHER</v>
          </cell>
          <cell r="P44" t="str">
            <v>oeste</v>
          </cell>
        </row>
        <row r="45">
          <cell r="A45" t="str">
            <v>1000-103</v>
          </cell>
          <cell r="B45">
            <v>0.1152851417510079</v>
          </cell>
          <cell r="C45" t="str">
            <v>Arocena Provicentro</v>
          </cell>
          <cell r="D45" t="str">
            <v>C/ Freixa, 86</v>
          </cell>
          <cell r="E45" t="str">
            <v>Barcelona</v>
          </cell>
          <cell r="G45" t="str">
            <v>08021</v>
          </cell>
          <cell r="H45" t="str">
            <v>España</v>
          </cell>
          <cell r="I45" t="str">
            <v>(343) 555 77 88</v>
          </cell>
          <cell r="J45" t="str">
            <v>(343) 555 67 50</v>
          </cell>
          <cell r="K45">
            <v>35558</v>
          </cell>
          <cell r="L45">
            <v>1362</v>
          </cell>
          <cell r="M45" t="str">
            <v>1000-1003</v>
          </cell>
          <cell r="N45">
            <v>345</v>
          </cell>
          <cell r="O45" t="str">
            <v>ALONSO</v>
          </cell>
          <cell r="P45" t="str">
            <v>Centro</v>
          </cell>
        </row>
        <row r="46">
          <cell r="A46" t="str">
            <v>1000-104</v>
          </cell>
          <cell r="B46">
            <v>0.42670413664860951</v>
          </cell>
          <cell r="C46" t="str">
            <v>Babu Ji Exportaciones</v>
          </cell>
          <cell r="D46" t="str">
            <v>Avda. Diagonal, 342</v>
          </cell>
          <cell r="E46" t="str">
            <v>Barcelona</v>
          </cell>
          <cell r="G46" t="str">
            <v>08037</v>
          </cell>
          <cell r="H46" t="str">
            <v>España</v>
          </cell>
          <cell r="I46" t="str">
            <v>(343) 555 82 48</v>
          </cell>
          <cell r="K46">
            <v>35835</v>
          </cell>
          <cell r="L46">
            <v>5687</v>
          </cell>
          <cell r="M46" t="str">
            <v>1000-1012</v>
          </cell>
          <cell r="N46">
            <v>345</v>
          </cell>
          <cell r="O46" t="str">
            <v>ALONSO</v>
          </cell>
          <cell r="P46" t="str">
            <v>Costa Mediterranea</v>
          </cell>
        </row>
        <row r="47">
          <cell r="A47" t="str">
            <v>1000-128</v>
          </cell>
          <cell r="B47">
            <v>0.71227010471582597</v>
          </cell>
          <cell r="C47" t="str">
            <v>Garcia's All-Day Food Mart</v>
          </cell>
          <cell r="D47" t="str">
            <v>401 Rodeo Dr.</v>
          </cell>
          <cell r="E47" t="str">
            <v>Auburn</v>
          </cell>
          <cell r="F47" t="str">
            <v>WA</v>
          </cell>
          <cell r="G47" t="str">
            <v>2169645</v>
          </cell>
          <cell r="H47" t="str">
            <v>EE.UU.</v>
          </cell>
          <cell r="I47" t="str">
            <v>(206) 555-9468</v>
          </cell>
          <cell r="J47" t="str">
            <v>(206) 555-6678</v>
          </cell>
          <cell r="K47">
            <v>35859</v>
          </cell>
          <cell r="L47">
            <v>10012</v>
          </cell>
          <cell r="M47" t="str">
            <v>1000-1030</v>
          </cell>
          <cell r="N47">
            <v>195</v>
          </cell>
          <cell r="O47" t="str">
            <v>LUTHER</v>
          </cell>
          <cell r="P47" t="str">
            <v>oeste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90C5-B5B9-45AC-8C5F-429C16A80AD6}">
  <sheetPr codeName="Hoja2"/>
  <dimension ref="A1:V54"/>
  <sheetViews>
    <sheetView showGridLines="0" zoomScale="120" zoomScaleNormal="120" workbookViewId="0">
      <selection activeCell="Q9" sqref="Q9"/>
    </sheetView>
  </sheetViews>
  <sheetFormatPr baseColWidth="10" defaultRowHeight="14.4" x14ac:dyDescent="0.3"/>
  <cols>
    <col min="1" max="1" width="26.5546875" bestFit="1" customWidth="1"/>
    <col min="3" max="3" width="4.6640625" bestFit="1" customWidth="1"/>
    <col min="4" max="4" width="13" customWidth="1"/>
    <col min="5" max="5" width="6.5546875" customWidth="1"/>
    <col min="6" max="6" width="13" customWidth="1"/>
    <col min="9" max="9" width="3.88671875" customWidth="1"/>
    <col min="10" max="10" width="4.88671875" customWidth="1"/>
  </cols>
  <sheetData>
    <row r="1" spans="1:22" s="14" customFormat="1" ht="26.25" customHeight="1" x14ac:dyDescent="0.55000000000000004">
      <c r="A1" s="11"/>
      <c r="B1" s="83" t="s">
        <v>134</v>
      </c>
      <c r="C1" s="83"/>
      <c r="D1" s="83"/>
      <c r="E1" s="83"/>
      <c r="F1" s="83"/>
      <c r="G1" s="83"/>
      <c r="H1" s="83"/>
      <c r="I1" s="83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55000000000000004">
      <c r="A2" s="11"/>
      <c r="B2" s="83"/>
      <c r="C2" s="83"/>
      <c r="D2" s="83"/>
      <c r="E2" s="83"/>
      <c r="F2" s="83"/>
      <c r="G2" s="83"/>
      <c r="H2" s="83"/>
      <c r="I2" s="83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20.399999999999999" thickBot="1" x14ac:dyDescent="0.45">
      <c r="A3" s="82" t="s">
        <v>9</v>
      </c>
      <c r="B3" s="82"/>
      <c r="C3" s="82"/>
      <c r="D3" s="82"/>
      <c r="E3" s="82"/>
      <c r="F3" s="82"/>
      <c r="G3" s="82"/>
      <c r="H3" s="82"/>
    </row>
    <row r="4" spans="1:22" ht="22.5" customHeight="1" thickTop="1" x14ac:dyDescent="0.5">
      <c r="A4" s="20" t="s">
        <v>72</v>
      </c>
      <c r="B4" s="3"/>
      <c r="C4" s="3"/>
      <c r="D4" s="3"/>
      <c r="E4" s="3"/>
      <c r="F4" s="3"/>
      <c r="G4" s="3"/>
      <c r="H4" s="3"/>
    </row>
    <row r="5" spans="1:22" ht="3" customHeight="1" x14ac:dyDescent="0.5">
      <c r="A5" s="2"/>
      <c r="B5" s="3"/>
      <c r="C5" s="3"/>
      <c r="D5" s="3"/>
      <c r="E5" s="3"/>
      <c r="F5" s="3"/>
      <c r="G5" s="3"/>
      <c r="H5" s="3"/>
    </row>
    <row r="6" spans="1:22" ht="15" customHeight="1" x14ac:dyDescent="0.3">
      <c r="A6" s="19" t="s">
        <v>10</v>
      </c>
      <c r="H6" s="17">
        <f>SUM(C15:C54)</f>
        <v>2347</v>
      </c>
      <c r="K6" s="16" t="s">
        <v>86</v>
      </c>
      <c r="Q6" s="5">
        <f>COUNTIF(D15:D54,"Dependiente")</f>
        <v>15</v>
      </c>
    </row>
    <row r="7" spans="1:22" ht="15" customHeight="1" x14ac:dyDescent="0.3">
      <c r="A7" s="19" t="s">
        <v>11</v>
      </c>
      <c r="H7" s="17">
        <f>MAX(E15:E54)</f>
        <v>40.5</v>
      </c>
      <c r="K7" s="16" t="s">
        <v>12</v>
      </c>
      <c r="Q7" s="5">
        <f>AVERAGEIF(G15:G54,"Positivo",E15:E54)</f>
        <v>39.595000000000006</v>
      </c>
    </row>
    <row r="8" spans="1:22" ht="15" customHeight="1" x14ac:dyDescent="0.3">
      <c r="A8" s="19" t="s">
        <v>13</v>
      </c>
      <c r="H8" s="17">
        <f>MIN(E15:E54)</f>
        <v>37.5</v>
      </c>
      <c r="K8" s="16" t="s">
        <v>14</v>
      </c>
      <c r="Q8" s="5">
        <f>AVERAGEIF(B15:B54,"Femenino",C15:C54)</f>
        <v>60.8125</v>
      </c>
    </row>
    <row r="9" spans="1:22" ht="15" customHeight="1" x14ac:dyDescent="0.3">
      <c r="A9" s="19" t="s">
        <v>15</v>
      </c>
      <c r="H9" s="17">
        <f>COUNTIF(C15:C54,"&gt;0")</f>
        <v>38</v>
      </c>
      <c r="K9" s="16" t="s">
        <v>16</v>
      </c>
      <c r="Q9" s="5">
        <f>SUMIFS(C15:C54,B15:B54,"Masculino",G15:G54,"Negativo")</f>
        <v>826</v>
      </c>
    </row>
    <row r="10" spans="1:22" ht="15" customHeight="1" x14ac:dyDescent="0.3">
      <c r="A10" s="19" t="s">
        <v>17</v>
      </c>
      <c r="H10" s="17">
        <f>COUNTA(A15:A54)</f>
        <v>40</v>
      </c>
      <c r="K10" s="16" t="s">
        <v>18</v>
      </c>
      <c r="Q10" s="5">
        <f>COUNTIFS(D15:D54,"Dependiente",H15:H54,"Rapida")</f>
        <v>7</v>
      </c>
    </row>
    <row r="11" spans="1:22" ht="15" customHeight="1" x14ac:dyDescent="0.3">
      <c r="A11" s="19" t="s">
        <v>19</v>
      </c>
      <c r="H11" s="18">
        <f>AVERAGE(C15:C54)</f>
        <v>61.763157894736842</v>
      </c>
    </row>
    <row r="12" spans="1:22" ht="15" customHeight="1" x14ac:dyDescent="0.5">
      <c r="A12" s="4"/>
      <c r="B12" s="3"/>
      <c r="C12" s="3"/>
      <c r="D12" s="3"/>
      <c r="E12" s="3"/>
      <c r="F12" s="3"/>
      <c r="G12" s="3"/>
      <c r="H12" s="6"/>
    </row>
    <row r="14" spans="1:22" ht="41.4" x14ac:dyDescent="0.3">
      <c r="A14" s="15" t="s">
        <v>20</v>
      </c>
      <c r="B14" s="15" t="s">
        <v>21</v>
      </c>
      <c r="C14" s="15" t="s">
        <v>0</v>
      </c>
      <c r="D14" s="15" t="s">
        <v>22</v>
      </c>
      <c r="E14" s="15" t="s">
        <v>23</v>
      </c>
      <c r="F14" s="15" t="s">
        <v>24</v>
      </c>
      <c r="G14" s="15" t="s">
        <v>25</v>
      </c>
      <c r="H14" s="15" t="s">
        <v>26</v>
      </c>
    </row>
    <row r="15" spans="1:22" x14ac:dyDescent="0.3">
      <c r="A15" s="7" t="s">
        <v>27</v>
      </c>
      <c r="B15" s="8" t="s">
        <v>1</v>
      </c>
      <c r="C15" s="8">
        <v>56</v>
      </c>
      <c r="D15" s="8" t="s">
        <v>28</v>
      </c>
      <c r="E15" s="8">
        <v>37.700000000000003</v>
      </c>
      <c r="F15" s="8" t="s">
        <v>29</v>
      </c>
      <c r="G15" s="8" t="s">
        <v>30</v>
      </c>
      <c r="H15" s="8" t="s">
        <v>31</v>
      </c>
    </row>
    <row r="16" spans="1:22" x14ac:dyDescent="0.3">
      <c r="A16" s="7" t="s">
        <v>32</v>
      </c>
      <c r="B16" s="8" t="s">
        <v>2</v>
      </c>
      <c r="C16" s="8">
        <v>44</v>
      </c>
      <c r="D16" s="8" t="s">
        <v>33</v>
      </c>
      <c r="E16" s="8">
        <v>38.9</v>
      </c>
      <c r="F16" s="8" t="s">
        <v>34</v>
      </c>
      <c r="G16" s="8" t="s">
        <v>35</v>
      </c>
      <c r="H16" s="8"/>
    </row>
    <row r="17" spans="1:8" x14ac:dyDescent="0.3">
      <c r="A17" s="7" t="s">
        <v>36</v>
      </c>
      <c r="B17" s="8" t="s">
        <v>2</v>
      </c>
      <c r="C17" s="8">
        <v>61</v>
      </c>
      <c r="D17" s="8" t="s">
        <v>33</v>
      </c>
      <c r="E17" s="8">
        <v>39.5</v>
      </c>
      <c r="F17" s="8" t="s">
        <v>37</v>
      </c>
      <c r="G17" s="8" t="s">
        <v>35</v>
      </c>
      <c r="H17" s="8" t="s">
        <v>31</v>
      </c>
    </row>
    <row r="18" spans="1:8" x14ac:dyDescent="0.3">
      <c r="A18" s="7" t="s">
        <v>38</v>
      </c>
      <c r="B18" s="8" t="s">
        <v>2</v>
      </c>
      <c r="C18" s="8">
        <v>58</v>
      </c>
      <c r="D18" s="8" t="s">
        <v>33</v>
      </c>
      <c r="E18" s="8">
        <v>39.799999999999997</v>
      </c>
      <c r="F18" s="8" t="s">
        <v>37</v>
      </c>
      <c r="G18" s="8" t="s">
        <v>30</v>
      </c>
      <c r="H18" s="8" t="s">
        <v>39</v>
      </c>
    </row>
    <row r="19" spans="1:8" x14ac:dyDescent="0.3">
      <c r="A19" s="7" t="s">
        <v>40</v>
      </c>
      <c r="B19" s="8" t="s">
        <v>1</v>
      </c>
      <c r="C19" s="8">
        <v>43</v>
      </c>
      <c r="D19" s="8" t="s">
        <v>33</v>
      </c>
      <c r="E19" s="8">
        <v>40</v>
      </c>
      <c r="F19" s="8" t="s">
        <v>37</v>
      </c>
      <c r="G19" s="8" t="s">
        <v>35</v>
      </c>
      <c r="H19" s="8" t="s">
        <v>39</v>
      </c>
    </row>
    <row r="20" spans="1:8" x14ac:dyDescent="0.3">
      <c r="A20" s="7" t="s">
        <v>41</v>
      </c>
      <c r="B20" s="8" t="s">
        <v>1</v>
      </c>
      <c r="C20" s="8">
        <v>68</v>
      </c>
      <c r="D20" s="8" t="s">
        <v>33</v>
      </c>
      <c r="E20" s="8">
        <v>38.9</v>
      </c>
      <c r="F20" s="8" t="s">
        <v>34</v>
      </c>
      <c r="G20" s="8" t="s">
        <v>35</v>
      </c>
      <c r="H20" s="8"/>
    </row>
    <row r="21" spans="1:8" x14ac:dyDescent="0.3">
      <c r="A21" s="7" t="s">
        <v>42</v>
      </c>
      <c r="B21" s="8" t="s">
        <v>1</v>
      </c>
      <c r="C21" s="8">
        <v>55</v>
      </c>
      <c r="D21" s="8" t="s">
        <v>33</v>
      </c>
      <c r="E21" s="8">
        <v>39</v>
      </c>
      <c r="F21" s="8" t="s">
        <v>34</v>
      </c>
      <c r="G21" s="8" t="s">
        <v>30</v>
      </c>
      <c r="H21" s="8" t="s">
        <v>31</v>
      </c>
    </row>
    <row r="22" spans="1:8" x14ac:dyDescent="0.3">
      <c r="A22" s="7" t="s">
        <v>43</v>
      </c>
      <c r="B22" s="8" t="s">
        <v>2</v>
      </c>
      <c r="C22" s="8">
        <v>78</v>
      </c>
      <c r="D22" s="8" t="s">
        <v>33</v>
      </c>
      <c r="E22" s="8">
        <v>38.9</v>
      </c>
      <c r="F22" s="8" t="s">
        <v>34</v>
      </c>
      <c r="G22" s="8" t="s">
        <v>30</v>
      </c>
      <c r="H22" s="8" t="s">
        <v>31</v>
      </c>
    </row>
    <row r="23" spans="1:8" x14ac:dyDescent="0.3">
      <c r="A23" s="7" t="s">
        <v>44</v>
      </c>
      <c r="B23" s="8" t="s">
        <v>2</v>
      </c>
      <c r="C23" s="8">
        <v>62</v>
      </c>
      <c r="D23" s="8" t="s">
        <v>33</v>
      </c>
      <c r="E23" s="8">
        <v>39.5</v>
      </c>
      <c r="F23" s="8" t="s">
        <v>37</v>
      </c>
      <c r="G23" s="8" t="s">
        <v>35</v>
      </c>
      <c r="H23" s="8" t="s">
        <v>31</v>
      </c>
    </row>
    <row r="24" spans="1:8" x14ac:dyDescent="0.3">
      <c r="A24" s="7" t="s">
        <v>45</v>
      </c>
      <c r="B24" s="8" t="s">
        <v>2</v>
      </c>
      <c r="C24" s="8">
        <v>46</v>
      </c>
      <c r="D24" s="8" t="s">
        <v>33</v>
      </c>
      <c r="E24" s="8">
        <v>37.5</v>
      </c>
      <c r="F24" s="8" t="s">
        <v>29</v>
      </c>
      <c r="G24" s="8" t="s">
        <v>35</v>
      </c>
      <c r="H24" s="8"/>
    </row>
    <row r="25" spans="1:8" x14ac:dyDescent="0.3">
      <c r="A25" s="7" t="s">
        <v>46</v>
      </c>
      <c r="B25" s="8" t="s">
        <v>1</v>
      </c>
      <c r="C25" s="8">
        <v>48</v>
      </c>
      <c r="D25" s="8" t="s">
        <v>28</v>
      </c>
      <c r="E25" s="8">
        <v>38</v>
      </c>
      <c r="F25" s="8" t="s">
        <v>29</v>
      </c>
      <c r="G25" s="8" t="s">
        <v>35</v>
      </c>
      <c r="H25" s="8" t="s">
        <v>39</v>
      </c>
    </row>
    <row r="26" spans="1:8" x14ac:dyDescent="0.3">
      <c r="A26" s="7" t="s">
        <v>47</v>
      </c>
      <c r="B26" s="8" t="s">
        <v>1</v>
      </c>
      <c r="C26" s="8">
        <v>55</v>
      </c>
      <c r="D26" s="8" t="s">
        <v>28</v>
      </c>
      <c r="E26" s="8">
        <v>39.700000000000003</v>
      </c>
      <c r="F26" s="8" t="s">
        <v>34</v>
      </c>
      <c r="G26" s="8" t="s">
        <v>30</v>
      </c>
      <c r="H26" s="8" t="s">
        <v>39</v>
      </c>
    </row>
    <row r="27" spans="1:8" x14ac:dyDescent="0.3">
      <c r="A27" s="7" t="s">
        <v>48</v>
      </c>
      <c r="B27" s="8" t="s">
        <v>1</v>
      </c>
      <c r="C27" s="8">
        <v>62</v>
      </c>
      <c r="D27" s="8" t="s">
        <v>28</v>
      </c>
      <c r="E27" s="8">
        <v>38.5</v>
      </c>
      <c r="F27" s="8" t="s">
        <v>34</v>
      </c>
      <c r="G27" s="8" t="s">
        <v>30</v>
      </c>
      <c r="H27" s="8"/>
    </row>
    <row r="28" spans="1:8" x14ac:dyDescent="0.3">
      <c r="A28" s="7" t="s">
        <v>49</v>
      </c>
      <c r="B28" s="8" t="s">
        <v>1</v>
      </c>
      <c r="C28" s="8">
        <v>72</v>
      </c>
      <c r="D28" s="8" t="s">
        <v>33</v>
      </c>
      <c r="E28" s="8">
        <v>39.5</v>
      </c>
      <c r="F28" s="8" t="s">
        <v>34</v>
      </c>
      <c r="G28" s="8" t="s">
        <v>30</v>
      </c>
      <c r="H28" s="8" t="s">
        <v>31</v>
      </c>
    </row>
    <row r="29" spans="1:8" x14ac:dyDescent="0.3">
      <c r="A29" s="7" t="s">
        <v>50</v>
      </c>
      <c r="B29" s="8" t="s">
        <v>1</v>
      </c>
      <c r="C29" s="8">
        <v>46</v>
      </c>
      <c r="D29" s="8" t="s">
        <v>28</v>
      </c>
      <c r="E29" s="8">
        <v>39.799999999999997</v>
      </c>
      <c r="F29" s="8" t="s">
        <v>37</v>
      </c>
      <c r="G29" s="8" t="s">
        <v>30</v>
      </c>
      <c r="H29" s="8" t="s">
        <v>39</v>
      </c>
    </row>
    <row r="30" spans="1:8" x14ac:dyDescent="0.3">
      <c r="A30" s="7" t="s">
        <v>51</v>
      </c>
      <c r="B30" s="8" t="s">
        <v>2</v>
      </c>
      <c r="C30" s="8">
        <v>68</v>
      </c>
      <c r="D30" s="8" t="s">
        <v>33</v>
      </c>
      <c r="E30" s="8">
        <v>40</v>
      </c>
      <c r="F30" s="8" t="s">
        <v>37</v>
      </c>
      <c r="G30" s="8" t="s">
        <v>30</v>
      </c>
      <c r="H30" s="8" t="s">
        <v>31</v>
      </c>
    </row>
    <row r="31" spans="1:8" x14ac:dyDescent="0.3">
      <c r="A31" s="7" t="s">
        <v>52</v>
      </c>
      <c r="B31" s="8" t="s">
        <v>1</v>
      </c>
      <c r="C31" s="8">
        <v>67</v>
      </c>
      <c r="D31" s="8" t="s">
        <v>28</v>
      </c>
      <c r="E31" s="8">
        <v>38.9</v>
      </c>
      <c r="F31" s="8" t="s">
        <v>37</v>
      </c>
      <c r="G31" s="8" t="s">
        <v>35</v>
      </c>
      <c r="H31" s="8" t="s">
        <v>31</v>
      </c>
    </row>
    <row r="32" spans="1:8" x14ac:dyDescent="0.3">
      <c r="A32" s="7" t="s">
        <v>53</v>
      </c>
      <c r="B32" s="8" t="s">
        <v>1</v>
      </c>
      <c r="C32" s="8">
        <v>58</v>
      </c>
      <c r="D32" s="8" t="s">
        <v>28</v>
      </c>
      <c r="E32" s="8">
        <v>39</v>
      </c>
      <c r="F32" s="8" t="s">
        <v>34</v>
      </c>
      <c r="G32" s="8" t="s">
        <v>35</v>
      </c>
      <c r="H32" s="8" t="s">
        <v>39</v>
      </c>
    </row>
    <row r="33" spans="1:8" x14ac:dyDescent="0.3">
      <c r="A33" s="7" t="s">
        <v>54</v>
      </c>
      <c r="B33" s="8" t="s">
        <v>2</v>
      </c>
      <c r="C33" s="8">
        <v>60</v>
      </c>
      <c r="D33" s="8" t="s">
        <v>28</v>
      </c>
      <c r="E33" s="8">
        <v>38.9</v>
      </c>
      <c r="F33" s="8" t="s">
        <v>34</v>
      </c>
      <c r="G33" s="8" t="s">
        <v>35</v>
      </c>
      <c r="H33" s="8"/>
    </row>
    <row r="34" spans="1:8" x14ac:dyDescent="0.3">
      <c r="A34" s="7" t="s">
        <v>55</v>
      </c>
      <c r="B34" s="8" t="s">
        <v>2</v>
      </c>
      <c r="C34" s="8">
        <v>54</v>
      </c>
      <c r="D34" s="8" t="s">
        <v>33</v>
      </c>
      <c r="E34" s="8">
        <v>39.5</v>
      </c>
      <c r="F34" s="8" t="s">
        <v>34</v>
      </c>
      <c r="G34" s="8" t="s">
        <v>30</v>
      </c>
      <c r="H34" s="8" t="s">
        <v>39</v>
      </c>
    </row>
    <row r="35" spans="1:8" x14ac:dyDescent="0.3">
      <c r="A35" s="7" t="s">
        <v>56</v>
      </c>
      <c r="B35" s="8" t="s">
        <v>2</v>
      </c>
      <c r="C35" s="8">
        <v>56</v>
      </c>
      <c r="D35" s="8" t="s">
        <v>33</v>
      </c>
      <c r="E35" s="8">
        <v>37.5</v>
      </c>
      <c r="F35" s="8" t="s">
        <v>29</v>
      </c>
      <c r="G35" s="8" t="s">
        <v>35</v>
      </c>
      <c r="H35" s="8" t="s">
        <v>39</v>
      </c>
    </row>
    <row r="36" spans="1:8" x14ac:dyDescent="0.3">
      <c r="A36" s="7" t="s">
        <v>57</v>
      </c>
      <c r="B36" s="8" t="s">
        <v>2</v>
      </c>
      <c r="C36" s="8">
        <v>47</v>
      </c>
      <c r="D36" s="8" t="s">
        <v>33</v>
      </c>
      <c r="E36" s="8">
        <v>40</v>
      </c>
      <c r="F36" s="8" t="s">
        <v>37</v>
      </c>
      <c r="G36" s="8" t="s">
        <v>30</v>
      </c>
      <c r="H36" s="8"/>
    </row>
    <row r="37" spans="1:8" x14ac:dyDescent="0.3">
      <c r="A37" s="7" t="s">
        <v>58</v>
      </c>
      <c r="B37" s="8" t="s">
        <v>2</v>
      </c>
      <c r="C37" s="8">
        <v>48</v>
      </c>
      <c r="D37" s="8" t="s">
        <v>28</v>
      </c>
      <c r="E37" s="8">
        <v>40.5</v>
      </c>
      <c r="F37" s="8" t="s">
        <v>37</v>
      </c>
      <c r="G37" s="8" t="s">
        <v>30</v>
      </c>
      <c r="H37" s="8" t="s">
        <v>39</v>
      </c>
    </row>
    <row r="38" spans="1:8" x14ac:dyDescent="0.3">
      <c r="A38" s="7" t="s">
        <v>59</v>
      </c>
      <c r="B38" s="8" t="s">
        <v>2</v>
      </c>
      <c r="C38" s="8">
        <v>54</v>
      </c>
      <c r="D38" s="8" t="s">
        <v>28</v>
      </c>
      <c r="E38" s="8">
        <v>39.799999999999997</v>
      </c>
      <c r="F38" s="8" t="s">
        <v>37</v>
      </c>
      <c r="G38" s="8" t="s">
        <v>30</v>
      </c>
      <c r="H38" s="8" t="s">
        <v>31</v>
      </c>
    </row>
    <row r="39" spans="1:8" x14ac:dyDescent="0.3">
      <c r="A39" s="7" t="s">
        <v>60</v>
      </c>
      <c r="B39" s="8" t="s">
        <v>2</v>
      </c>
      <c r="C39" s="8">
        <v>64</v>
      </c>
      <c r="D39" s="8" t="s">
        <v>28</v>
      </c>
      <c r="E39" s="8">
        <v>38.5</v>
      </c>
      <c r="F39" s="8" t="s">
        <v>37</v>
      </c>
      <c r="G39" s="8" t="s">
        <v>35</v>
      </c>
      <c r="H39" s="8" t="s">
        <v>39</v>
      </c>
    </row>
    <row r="40" spans="1:8" x14ac:dyDescent="0.3">
      <c r="A40" s="7" t="s">
        <v>61</v>
      </c>
      <c r="B40" s="8" t="s">
        <v>2</v>
      </c>
      <c r="C40" s="8">
        <v>62</v>
      </c>
      <c r="D40" s="8" t="s">
        <v>33</v>
      </c>
      <c r="E40" s="8">
        <v>39</v>
      </c>
      <c r="F40" s="8" t="s">
        <v>34</v>
      </c>
      <c r="G40" s="8" t="s">
        <v>30</v>
      </c>
      <c r="H40" s="8" t="s">
        <v>31</v>
      </c>
    </row>
    <row r="41" spans="1:8" x14ac:dyDescent="0.3">
      <c r="A41" s="7" t="s">
        <v>62</v>
      </c>
      <c r="B41" s="8" t="s">
        <v>1</v>
      </c>
      <c r="C41" s="8">
        <v>62</v>
      </c>
      <c r="D41" s="8" t="s">
        <v>28</v>
      </c>
      <c r="E41" s="8">
        <v>40</v>
      </c>
      <c r="F41" s="8" t="s">
        <v>34</v>
      </c>
      <c r="G41" s="8" t="s">
        <v>30</v>
      </c>
      <c r="H41" s="8" t="s">
        <v>31</v>
      </c>
    </row>
    <row r="42" spans="1:8" x14ac:dyDescent="0.3">
      <c r="A42" s="7" t="s">
        <v>63</v>
      </c>
      <c r="B42" s="8" t="s">
        <v>2</v>
      </c>
      <c r="C42" s="8">
        <v>79</v>
      </c>
      <c r="D42" s="8"/>
      <c r="E42" s="8">
        <v>40</v>
      </c>
      <c r="F42" s="8" t="s">
        <v>34</v>
      </c>
      <c r="G42" s="8" t="s">
        <v>30</v>
      </c>
      <c r="H42" s="8" t="s">
        <v>39</v>
      </c>
    </row>
    <row r="43" spans="1:8" x14ac:dyDescent="0.3">
      <c r="A43" s="7" t="s">
        <v>64</v>
      </c>
      <c r="B43" s="8" t="s">
        <v>1</v>
      </c>
      <c r="C43" s="8">
        <v>63</v>
      </c>
      <c r="D43" s="8" t="s">
        <v>28</v>
      </c>
      <c r="E43" s="8">
        <v>40.5</v>
      </c>
      <c r="F43" s="8" t="s">
        <v>37</v>
      </c>
      <c r="G43" s="8" t="s">
        <v>30</v>
      </c>
      <c r="H43" s="8" t="s">
        <v>31</v>
      </c>
    </row>
    <row r="44" spans="1:8" x14ac:dyDescent="0.3">
      <c r="A44" s="7" t="s">
        <v>65</v>
      </c>
      <c r="B44" s="8" t="s">
        <v>2</v>
      </c>
      <c r="C44" s="8">
        <v>52</v>
      </c>
      <c r="D44" s="8" t="s">
        <v>33</v>
      </c>
      <c r="E44" s="8">
        <v>39.799999999999997</v>
      </c>
      <c r="F44" s="8" t="s">
        <v>37</v>
      </c>
      <c r="G44" s="8" t="s">
        <v>35</v>
      </c>
      <c r="H44" s="8" t="s">
        <v>39</v>
      </c>
    </row>
    <row r="45" spans="1:8" x14ac:dyDescent="0.3">
      <c r="A45" s="7" t="s">
        <v>66</v>
      </c>
      <c r="B45" s="8" t="s">
        <v>2</v>
      </c>
      <c r="C45" s="8">
        <v>79</v>
      </c>
      <c r="D45" s="8"/>
      <c r="E45" s="8">
        <v>38.5</v>
      </c>
      <c r="F45" s="8" t="s">
        <v>29</v>
      </c>
      <c r="G45" s="8" t="s">
        <v>35</v>
      </c>
      <c r="H45" s="8" t="s">
        <v>39</v>
      </c>
    </row>
    <row r="46" spans="1:8" x14ac:dyDescent="0.3">
      <c r="A46" s="7" t="s">
        <v>67</v>
      </c>
      <c r="B46" s="8" t="s">
        <v>1</v>
      </c>
      <c r="C46" s="8">
        <v>71</v>
      </c>
      <c r="D46" s="8" t="s">
        <v>28</v>
      </c>
      <c r="E46" s="8">
        <v>39</v>
      </c>
      <c r="F46" s="8" t="s">
        <v>34</v>
      </c>
      <c r="G46" s="8" t="s">
        <v>35</v>
      </c>
      <c r="H46" s="8" t="s">
        <v>39</v>
      </c>
    </row>
    <row r="47" spans="1:8" x14ac:dyDescent="0.3">
      <c r="A47" s="7" t="s">
        <v>68</v>
      </c>
      <c r="B47" s="8" t="s">
        <v>2</v>
      </c>
      <c r="C47" s="8">
        <v>73</v>
      </c>
      <c r="D47" s="8" t="s">
        <v>28</v>
      </c>
      <c r="E47" s="8">
        <v>38.9</v>
      </c>
      <c r="F47" s="8" t="s">
        <v>29</v>
      </c>
      <c r="G47" s="8" t="s">
        <v>35</v>
      </c>
      <c r="H47" s="8" t="s">
        <v>31</v>
      </c>
    </row>
    <row r="48" spans="1:8" x14ac:dyDescent="0.3">
      <c r="A48" s="7" t="s">
        <v>69</v>
      </c>
      <c r="B48" s="8" t="s">
        <v>1</v>
      </c>
      <c r="C48" s="8">
        <v>66</v>
      </c>
      <c r="D48" s="8" t="s">
        <v>33</v>
      </c>
      <c r="E48" s="8">
        <v>39.5</v>
      </c>
      <c r="F48" s="8" t="s">
        <v>34</v>
      </c>
      <c r="G48" s="8" t="s">
        <v>30</v>
      </c>
      <c r="H48" s="8"/>
    </row>
    <row r="49" spans="1:8" x14ac:dyDescent="0.3">
      <c r="A49" s="7" t="s">
        <v>70</v>
      </c>
      <c r="B49" s="8" t="s">
        <v>2</v>
      </c>
      <c r="C49" s="8"/>
      <c r="D49" s="8" t="s">
        <v>33</v>
      </c>
      <c r="E49" s="8">
        <v>37.5</v>
      </c>
      <c r="F49" s="8" t="s">
        <v>29</v>
      </c>
      <c r="G49" s="8" t="s">
        <v>35</v>
      </c>
      <c r="H49" s="8" t="s">
        <v>39</v>
      </c>
    </row>
    <row r="50" spans="1:8" x14ac:dyDescent="0.3">
      <c r="A50" s="7" t="s">
        <v>71</v>
      </c>
      <c r="B50" s="8" t="s">
        <v>2</v>
      </c>
      <c r="C50" s="8">
        <v>65</v>
      </c>
      <c r="D50" s="8" t="s">
        <v>33</v>
      </c>
      <c r="E50" s="8">
        <v>38</v>
      </c>
      <c r="F50" s="8" t="s">
        <v>29</v>
      </c>
      <c r="G50" s="8" t="s">
        <v>35</v>
      </c>
      <c r="H50" s="8" t="s">
        <v>31</v>
      </c>
    </row>
    <row r="51" spans="1:8" x14ac:dyDescent="0.3">
      <c r="A51" s="7" t="s">
        <v>32</v>
      </c>
      <c r="B51" s="8" t="s">
        <v>1</v>
      </c>
      <c r="C51" s="8"/>
      <c r="D51" s="8"/>
      <c r="E51" s="8">
        <v>39.700000000000003</v>
      </c>
      <c r="F51" s="8" t="s">
        <v>37</v>
      </c>
      <c r="G51" s="8" t="s">
        <v>30</v>
      </c>
      <c r="H51" s="8" t="s">
        <v>31</v>
      </c>
    </row>
    <row r="52" spans="1:8" x14ac:dyDescent="0.3">
      <c r="A52" s="7" t="s">
        <v>36</v>
      </c>
      <c r="B52" s="8" t="s">
        <v>2</v>
      </c>
      <c r="C52" s="8">
        <v>88</v>
      </c>
      <c r="D52" s="8"/>
      <c r="E52" s="8">
        <v>38.5</v>
      </c>
      <c r="F52" s="8" t="s">
        <v>29</v>
      </c>
      <c r="G52" s="8" t="s">
        <v>35</v>
      </c>
      <c r="H52" s="8" t="s">
        <v>39</v>
      </c>
    </row>
    <row r="53" spans="1:8" x14ac:dyDescent="0.3">
      <c r="A53" s="7" t="s">
        <v>38</v>
      </c>
      <c r="B53" s="8" t="s">
        <v>2</v>
      </c>
      <c r="C53" s="8">
        <v>76</v>
      </c>
      <c r="D53" s="8" t="s">
        <v>33</v>
      </c>
      <c r="E53" s="8">
        <v>39.5</v>
      </c>
      <c r="F53" s="8" t="s">
        <v>29</v>
      </c>
      <c r="G53" s="8" t="s">
        <v>35</v>
      </c>
      <c r="H53" s="9"/>
    </row>
    <row r="54" spans="1:8" x14ac:dyDescent="0.3">
      <c r="A54" s="7" t="s">
        <v>40</v>
      </c>
      <c r="B54" s="8" t="s">
        <v>1</v>
      </c>
      <c r="C54" s="8">
        <v>81</v>
      </c>
      <c r="D54" s="8"/>
      <c r="E54" s="8">
        <v>40.5</v>
      </c>
      <c r="F54" s="8" t="s">
        <v>37</v>
      </c>
      <c r="G54" s="10" t="s">
        <v>30</v>
      </c>
      <c r="H54" s="8" t="s">
        <v>31</v>
      </c>
    </row>
  </sheetData>
  <mergeCells count="2">
    <mergeCell ref="A3:H3"/>
    <mergeCell ref="B1:I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9CCB-7A59-4E47-BE5E-17C8A7D1D623}">
  <sheetPr codeName="Hoja3"/>
  <dimension ref="A1:V17"/>
  <sheetViews>
    <sheetView showGridLines="0" zoomScale="160" zoomScaleNormal="160" workbookViewId="0">
      <selection activeCell="C19" sqref="C19"/>
    </sheetView>
  </sheetViews>
  <sheetFormatPr baseColWidth="10" defaultRowHeight="14.4" x14ac:dyDescent="0.3"/>
  <sheetData>
    <row r="1" spans="1:22" s="14" customFormat="1" ht="26.25" customHeight="1" x14ac:dyDescent="0.55000000000000004">
      <c r="A1" s="11"/>
      <c r="B1" s="83" t="s">
        <v>135</v>
      </c>
      <c r="C1" s="83"/>
      <c r="D1" s="83"/>
      <c r="E1" s="83"/>
      <c r="F1" s="83"/>
      <c r="G1" s="83"/>
      <c r="H1" s="83"/>
      <c r="I1" s="83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55000000000000004">
      <c r="A2" s="11"/>
      <c r="B2" s="83"/>
      <c r="C2" s="83"/>
      <c r="D2" s="83"/>
      <c r="E2" s="83"/>
      <c r="F2" s="83"/>
      <c r="G2" s="83"/>
      <c r="H2" s="83"/>
      <c r="I2" s="83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9" customHeight="1" x14ac:dyDescent="0.3"/>
    <row r="4" spans="1:22" ht="18" x14ac:dyDescent="0.35">
      <c r="A4" s="20" t="s">
        <v>85</v>
      </c>
    </row>
    <row r="6" spans="1:22" ht="15" thickBot="1" x14ac:dyDescent="0.35">
      <c r="B6" s="98" t="s">
        <v>84</v>
      </c>
      <c r="C6" s="97"/>
      <c r="D6" s="97"/>
      <c r="E6" s="97"/>
    </row>
    <row r="7" spans="1:22" ht="15" thickTop="1" x14ac:dyDescent="0.3"/>
    <row r="8" spans="1:22" x14ac:dyDescent="0.3">
      <c r="B8" s="91"/>
      <c r="C8" s="96" t="s">
        <v>73</v>
      </c>
      <c r="D8" s="96" t="s">
        <v>74</v>
      </c>
      <c r="E8" s="96" t="s">
        <v>75</v>
      </c>
    </row>
    <row r="9" spans="1:22" x14ac:dyDescent="0.3">
      <c r="B9" s="93" t="s">
        <v>76</v>
      </c>
      <c r="C9" s="92">
        <v>18000</v>
      </c>
      <c r="D9" s="92">
        <v>17500</v>
      </c>
      <c r="E9" s="92">
        <v>26000</v>
      </c>
    </row>
    <row r="10" spans="1:22" x14ac:dyDescent="0.3">
      <c r="B10" s="93" t="s">
        <v>4</v>
      </c>
      <c r="C10" s="92">
        <v>21500</v>
      </c>
      <c r="D10" s="92">
        <v>10000</v>
      </c>
      <c r="E10" s="92">
        <v>19500</v>
      </c>
    </row>
    <row r="11" spans="1:22" x14ac:dyDescent="0.3">
      <c r="B11" s="93" t="s">
        <v>77</v>
      </c>
      <c r="C11" s="92">
        <v>12000</v>
      </c>
      <c r="D11" s="92">
        <v>14000</v>
      </c>
      <c r="E11" s="92">
        <v>15900</v>
      </c>
    </row>
    <row r="12" spans="1:22" x14ac:dyDescent="0.3">
      <c r="B12" s="93" t="s">
        <v>78</v>
      </c>
      <c r="C12" s="92">
        <v>14500</v>
      </c>
      <c r="D12" s="92">
        <v>12000</v>
      </c>
      <c r="E12" s="92">
        <v>11000</v>
      </c>
    </row>
    <row r="13" spans="1:22" x14ac:dyDescent="0.3">
      <c r="B13" s="93" t="s">
        <v>79</v>
      </c>
      <c r="C13" s="92">
        <v>19000</v>
      </c>
      <c r="D13" s="92">
        <v>20000</v>
      </c>
      <c r="E13" s="92">
        <v>23000</v>
      </c>
    </row>
    <row r="14" spans="1:22" x14ac:dyDescent="0.3">
      <c r="B14" s="93" t="s">
        <v>80</v>
      </c>
      <c r="C14" s="92">
        <v>24000</v>
      </c>
      <c r="D14" s="92">
        <v>21000</v>
      </c>
      <c r="E14" s="92">
        <v>23000</v>
      </c>
    </row>
    <row r="15" spans="1:22" x14ac:dyDescent="0.3">
      <c r="B15" s="93" t="s">
        <v>81</v>
      </c>
      <c r="C15" s="92">
        <v>13000</v>
      </c>
      <c r="D15" s="92">
        <v>14500</v>
      </c>
      <c r="E15" s="92">
        <v>15000</v>
      </c>
    </row>
    <row r="16" spans="1:22" x14ac:dyDescent="0.3">
      <c r="B16" s="94" t="s">
        <v>82</v>
      </c>
      <c r="C16" s="95">
        <f>SUM(C9:C15)</f>
        <v>122000</v>
      </c>
      <c r="D16" s="95">
        <f t="shared" ref="D16:E16" si="0">SUM(D9:D15)</f>
        <v>109000</v>
      </c>
      <c r="E16" s="95">
        <f t="shared" si="0"/>
        <v>133400</v>
      </c>
    </row>
    <row r="17" spans="2:5" x14ac:dyDescent="0.3">
      <c r="B17" s="94" t="s">
        <v>83</v>
      </c>
      <c r="C17" s="95">
        <f>AVERAGE(C9:C15)</f>
        <v>17428.571428571428</v>
      </c>
      <c r="D17" s="95">
        <f t="shared" ref="D17:E17" si="1">AVERAGE(D9:D15)</f>
        <v>15571.428571428571</v>
      </c>
      <c r="E17" s="95">
        <f t="shared" si="1"/>
        <v>19057.142857142859</v>
      </c>
    </row>
  </sheetData>
  <mergeCells count="1">
    <mergeCell ref="B1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CA91-BFC8-4E2C-961E-3E248FF58476}">
  <sheetPr codeName="Hoja5"/>
  <dimension ref="A1:AC133"/>
  <sheetViews>
    <sheetView showGridLines="0" tabSelected="1" zoomScale="145" zoomScaleNormal="145" workbookViewId="0">
      <selection activeCell="H133" sqref="H133"/>
    </sheetView>
  </sheetViews>
  <sheetFormatPr baseColWidth="10" defaultColWidth="14.44140625" defaultRowHeight="15" customHeight="1" x14ac:dyDescent="0.3"/>
  <cols>
    <col min="1" max="1" width="4.109375" style="1" customWidth="1"/>
    <col min="2" max="2" width="20.88671875" style="1" customWidth="1"/>
    <col min="3" max="3" width="19.5546875" style="1" customWidth="1"/>
    <col min="4" max="4" width="12.88671875" style="1" customWidth="1"/>
    <col min="5" max="5" width="11.33203125" style="1" customWidth="1"/>
    <col min="6" max="6" width="12.33203125" style="1" customWidth="1"/>
    <col min="7" max="7" width="18.88671875" style="1" customWidth="1"/>
    <col min="8" max="8" width="10.6640625" style="1" customWidth="1"/>
    <col min="9" max="9" width="9.88671875" style="1" customWidth="1"/>
    <col min="10" max="10" width="17.88671875" style="1" customWidth="1"/>
    <col min="11" max="11" width="14.44140625" style="1" customWidth="1"/>
    <col min="12" max="12" width="7.44140625" style="1" customWidth="1"/>
    <col min="13" max="13" width="16.5546875" style="1" customWidth="1"/>
    <col min="14" max="14" width="14.44140625" style="1" customWidth="1"/>
    <col min="15" max="15" width="10.6640625" style="1" customWidth="1"/>
    <col min="16" max="16" width="7.44140625" style="1" customWidth="1"/>
    <col min="17" max="17" width="16.6640625" style="1" customWidth="1"/>
    <col min="18" max="18" width="5.88671875" style="1" customWidth="1"/>
    <col min="19" max="19" width="8" style="1" customWidth="1"/>
    <col min="20" max="20" width="0.88671875" style="1" customWidth="1"/>
    <col min="21" max="21" width="10.6640625" style="1" customWidth="1"/>
    <col min="22" max="22" width="8.44140625" style="1" customWidth="1"/>
    <col min="23" max="23" width="1.33203125" style="1" customWidth="1"/>
    <col min="24" max="24" width="4.5546875" style="1" customWidth="1"/>
    <col min="25" max="25" width="10.6640625" style="1" customWidth="1"/>
    <col min="26" max="26" width="18" style="1" bestFit="1" customWidth="1"/>
    <col min="27" max="27" width="4.44140625" style="1" customWidth="1"/>
    <col min="28" max="28" width="40.88671875" style="1" bestFit="1" customWidth="1"/>
    <col min="29" max="29" width="22.33203125" style="1" bestFit="1" customWidth="1"/>
    <col min="30" max="30" width="4.5546875" style="1" customWidth="1"/>
    <col min="31" max="31" width="1.109375" style="1" customWidth="1"/>
    <col min="32" max="32" width="4" style="1" customWidth="1"/>
    <col min="33" max="33" width="3.109375" style="1" bestFit="1" customWidth="1"/>
    <col min="34" max="34" width="8.33203125" style="1" bestFit="1" customWidth="1"/>
    <col min="35" max="35" width="13.88671875" style="1" bestFit="1" customWidth="1"/>
    <col min="36" max="36" width="12.5546875" style="1" bestFit="1" customWidth="1"/>
    <col min="37" max="37" width="4.6640625" style="1" customWidth="1"/>
    <col min="38" max="38" width="10" style="1" customWidth="1"/>
    <col min="39" max="39" width="12.109375" style="1" customWidth="1"/>
    <col min="40" max="40" width="25.44140625" style="1" customWidth="1"/>
    <col min="41" max="16384" width="14.44140625" style="1"/>
  </cols>
  <sheetData>
    <row r="1" spans="1:29" s="14" customFormat="1" ht="25.5" customHeight="1" x14ac:dyDescent="0.55000000000000004">
      <c r="A1" s="11"/>
      <c r="B1" s="90" t="s">
        <v>230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47"/>
      <c r="O1" s="47"/>
      <c r="P1" s="47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55000000000000004">
      <c r="A2" s="11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47"/>
      <c r="O2" s="47"/>
      <c r="P2" s="47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4" spans="1:29" customFormat="1" ht="18" x14ac:dyDescent="0.4">
      <c r="A4" s="21" t="s">
        <v>136</v>
      </c>
    </row>
    <row r="5" spans="1:29" s="23" customFormat="1" ht="15.6" x14ac:dyDescent="0.3">
      <c r="A5" s="22"/>
      <c r="B5" s="23" t="s">
        <v>87</v>
      </c>
    </row>
    <row r="6" spans="1:29" customFormat="1" ht="9" customHeight="1" x14ac:dyDescent="0.3"/>
    <row r="7" spans="1:29" customFormat="1" ht="14.4" x14ac:dyDescent="0.3">
      <c r="C7" s="24" t="s">
        <v>89</v>
      </c>
      <c r="D7" s="26"/>
      <c r="E7" s="26"/>
      <c r="F7" s="26"/>
      <c r="G7" s="26"/>
    </row>
    <row r="8" spans="1:29" customFormat="1" ht="14.4" x14ac:dyDescent="0.3">
      <c r="C8" s="25"/>
      <c r="D8" s="25"/>
      <c r="E8" s="25"/>
      <c r="F8" s="25"/>
      <c r="G8" s="25"/>
    </row>
    <row r="9" spans="1:29" customFormat="1" ht="14.4" x14ac:dyDescent="0.3">
      <c r="C9" s="48" t="s">
        <v>90</v>
      </c>
      <c r="D9" s="49" t="s">
        <v>91</v>
      </c>
      <c r="E9" s="49" t="s">
        <v>92</v>
      </c>
      <c r="F9" s="49" t="s">
        <v>93</v>
      </c>
      <c r="G9" s="49" t="s">
        <v>82</v>
      </c>
    </row>
    <row r="10" spans="1:29" customFormat="1" ht="14.4" x14ac:dyDescent="0.3">
      <c r="C10" s="50" t="s">
        <v>94</v>
      </c>
      <c r="D10" s="51">
        <v>3456</v>
      </c>
      <c r="E10" s="51">
        <v>2456</v>
      </c>
      <c r="F10" s="51">
        <v>1243</v>
      </c>
      <c r="G10" s="52">
        <f>SUM(D10:F10)</f>
        <v>7155</v>
      </c>
    </row>
    <row r="11" spans="1:29" customFormat="1" ht="14.4" x14ac:dyDescent="0.3">
      <c r="C11" s="50" t="s">
        <v>95</v>
      </c>
      <c r="D11" s="51">
        <v>2345</v>
      </c>
      <c r="E11" s="51">
        <v>2345</v>
      </c>
      <c r="F11" s="51">
        <v>2654</v>
      </c>
      <c r="G11" s="52">
        <f t="shared" ref="G11:G15" si="0">SUM(D11:F11)</f>
        <v>7344</v>
      </c>
    </row>
    <row r="12" spans="1:29" customFormat="1" ht="14.4" x14ac:dyDescent="0.3">
      <c r="C12" s="50" t="s">
        <v>96</v>
      </c>
      <c r="D12" s="51">
        <v>4456</v>
      </c>
      <c r="E12" s="51">
        <v>3452</v>
      </c>
      <c r="F12" s="51">
        <v>5643</v>
      </c>
      <c r="G12" s="52">
        <f t="shared" si="0"/>
        <v>13551</v>
      </c>
    </row>
    <row r="13" spans="1:29" customFormat="1" ht="14.4" x14ac:dyDescent="0.3">
      <c r="C13" s="50" t="s">
        <v>97</v>
      </c>
      <c r="D13" s="51">
        <v>345</v>
      </c>
      <c r="E13" s="51">
        <v>764</v>
      </c>
      <c r="F13" s="51">
        <v>1265</v>
      </c>
      <c r="G13" s="52">
        <f t="shared" si="0"/>
        <v>2374</v>
      </c>
    </row>
    <row r="14" spans="1:29" customFormat="1" ht="14.4" x14ac:dyDescent="0.3">
      <c r="C14" s="50" t="s">
        <v>98</v>
      </c>
      <c r="D14" s="51">
        <v>664</v>
      </c>
      <c r="E14" s="51">
        <v>790</v>
      </c>
      <c r="F14" s="51">
        <v>345</v>
      </c>
      <c r="G14" s="52">
        <f t="shared" si="0"/>
        <v>1799</v>
      </c>
    </row>
    <row r="15" spans="1:29" customFormat="1" ht="14.4" x14ac:dyDescent="0.3">
      <c r="C15" s="50" t="s">
        <v>99</v>
      </c>
      <c r="D15" s="51">
        <v>6598</v>
      </c>
      <c r="E15" s="51">
        <v>167</v>
      </c>
      <c r="F15" s="51">
        <v>234</v>
      </c>
      <c r="G15" s="52">
        <f t="shared" si="0"/>
        <v>6999</v>
      </c>
    </row>
    <row r="16" spans="1:29" customFormat="1" ht="14.4" x14ac:dyDescent="0.3">
      <c r="C16" s="53" t="s">
        <v>100</v>
      </c>
      <c r="D16" s="54">
        <f>SUBTOTAL(9,D10:D15)</f>
        <v>17864</v>
      </c>
      <c r="E16" s="54">
        <f>SUBTOTAL(9,E10:E15)</f>
        <v>9974</v>
      </c>
      <c r="F16" s="54">
        <f>SUBTOTAL(9,F10:F15)</f>
        <v>11384</v>
      </c>
      <c r="G16" s="54">
        <f>SUBTOTAL(9,G10:G15)</f>
        <v>39222</v>
      </c>
    </row>
    <row r="17" spans="3:7" customFormat="1" ht="14.4" x14ac:dyDescent="0.3">
      <c r="C17" s="27"/>
      <c r="D17" s="28"/>
      <c r="E17" s="28"/>
      <c r="F17" s="28"/>
      <c r="G17" s="28"/>
    </row>
    <row r="18" spans="3:7" customFormat="1" ht="14.4" x14ac:dyDescent="0.3">
      <c r="C18" s="55" t="s">
        <v>101</v>
      </c>
      <c r="D18" s="49" t="s">
        <v>91</v>
      </c>
      <c r="E18" s="49" t="s">
        <v>92</v>
      </c>
      <c r="F18" s="49" t="s">
        <v>93</v>
      </c>
      <c r="G18" s="49" t="s">
        <v>82</v>
      </c>
    </row>
    <row r="19" spans="3:7" customFormat="1" ht="14.4" x14ac:dyDescent="0.3">
      <c r="C19" s="50" t="s">
        <v>102</v>
      </c>
      <c r="D19" s="51">
        <v>234</v>
      </c>
      <c r="E19" s="51">
        <v>987</v>
      </c>
      <c r="F19" s="51">
        <v>432</v>
      </c>
      <c r="G19" s="52">
        <f>SUM(D19:F19)</f>
        <v>1653</v>
      </c>
    </row>
    <row r="20" spans="3:7" customFormat="1" ht="14.4" x14ac:dyDescent="0.3">
      <c r="C20" s="50" t="s">
        <v>103</v>
      </c>
      <c r="D20" s="51">
        <v>387</v>
      </c>
      <c r="E20" s="51">
        <v>234</v>
      </c>
      <c r="F20" s="51">
        <v>543</v>
      </c>
      <c r="G20" s="52">
        <f t="shared" ref="G20:G25" si="1">SUM(D20:F20)</f>
        <v>1164</v>
      </c>
    </row>
    <row r="21" spans="3:7" customFormat="1" ht="14.4" x14ac:dyDescent="0.3">
      <c r="C21" s="50" t="s">
        <v>104</v>
      </c>
      <c r="D21" s="51">
        <v>654</v>
      </c>
      <c r="E21" s="51">
        <v>654</v>
      </c>
      <c r="F21" s="51">
        <v>765</v>
      </c>
      <c r="G21" s="52">
        <f t="shared" si="1"/>
        <v>2073</v>
      </c>
    </row>
    <row r="22" spans="3:7" customFormat="1" ht="14.4" x14ac:dyDescent="0.3">
      <c r="C22" s="50" t="s">
        <v>105</v>
      </c>
      <c r="D22" s="51">
        <v>976</v>
      </c>
      <c r="E22" s="51">
        <v>567</v>
      </c>
      <c r="F22" s="51">
        <v>235</v>
      </c>
      <c r="G22" s="52">
        <f t="shared" si="1"/>
        <v>1778</v>
      </c>
    </row>
    <row r="23" spans="3:7" customFormat="1" ht="14.4" x14ac:dyDescent="0.3">
      <c r="C23" s="50" t="s">
        <v>106</v>
      </c>
      <c r="D23" s="51">
        <v>612</v>
      </c>
      <c r="E23" s="51">
        <v>628</v>
      </c>
      <c r="F23" s="51">
        <v>834</v>
      </c>
      <c r="G23" s="52">
        <f t="shared" si="1"/>
        <v>2074</v>
      </c>
    </row>
    <row r="24" spans="3:7" customFormat="1" ht="14.4" x14ac:dyDescent="0.3">
      <c r="C24" s="50" t="s">
        <v>107</v>
      </c>
      <c r="D24" s="51">
        <v>567</v>
      </c>
      <c r="E24" s="51">
        <v>345</v>
      </c>
      <c r="F24" s="51">
        <v>543</v>
      </c>
      <c r="G24" s="52">
        <f t="shared" si="1"/>
        <v>1455</v>
      </c>
    </row>
    <row r="25" spans="3:7" customFormat="1" ht="14.4" x14ac:dyDescent="0.3">
      <c r="C25" s="50" t="s">
        <v>108</v>
      </c>
      <c r="D25" s="51">
        <v>456</v>
      </c>
      <c r="E25" s="51">
        <v>765</v>
      </c>
      <c r="F25" s="51">
        <v>123</v>
      </c>
      <c r="G25" s="52">
        <f t="shared" si="1"/>
        <v>1344</v>
      </c>
    </row>
    <row r="26" spans="3:7" customFormat="1" ht="14.4" x14ac:dyDescent="0.3">
      <c r="C26" s="53" t="s">
        <v>100</v>
      </c>
      <c r="D26" s="54">
        <f>SUBTOTAL(9,D19:D25)</f>
        <v>3886</v>
      </c>
      <c r="E26" s="54">
        <f>SUBTOTAL(9,E19:E25)</f>
        <v>4180</v>
      </c>
      <c r="F26" s="54">
        <f>SUBTOTAL(9,F19:F25)</f>
        <v>3475</v>
      </c>
      <c r="G26" s="54">
        <f>SUBTOTAL(9,G19:G25)</f>
        <v>11541</v>
      </c>
    </row>
    <row r="27" spans="3:7" customFormat="1" ht="14.4" x14ac:dyDescent="0.3">
      <c r="C27" s="27"/>
      <c r="D27" s="28"/>
      <c r="E27" s="28"/>
      <c r="F27" s="28"/>
      <c r="G27" s="28"/>
    </row>
    <row r="28" spans="3:7" customFormat="1" ht="14.4" x14ac:dyDescent="0.3">
      <c r="C28" s="56" t="s">
        <v>109</v>
      </c>
      <c r="D28" s="49" t="s">
        <v>91</v>
      </c>
      <c r="E28" s="49" t="s">
        <v>92</v>
      </c>
      <c r="F28" s="49" t="s">
        <v>93</v>
      </c>
      <c r="G28" s="49" t="s">
        <v>82</v>
      </c>
    </row>
    <row r="29" spans="3:7" customFormat="1" ht="14.4" x14ac:dyDescent="0.3">
      <c r="C29" s="57" t="s">
        <v>110</v>
      </c>
      <c r="D29" s="51">
        <v>567</v>
      </c>
      <c r="E29" s="51">
        <v>654</v>
      </c>
      <c r="F29" s="51">
        <v>7765</v>
      </c>
      <c r="G29" s="52">
        <f>SUM(D29:F29)</f>
        <v>8986</v>
      </c>
    </row>
    <row r="30" spans="3:7" customFormat="1" ht="14.4" x14ac:dyDescent="0.3">
      <c r="C30" s="57" t="s">
        <v>111</v>
      </c>
      <c r="D30" s="51">
        <v>456</v>
      </c>
      <c r="E30" s="51">
        <v>765</v>
      </c>
      <c r="F30" s="51">
        <v>6543</v>
      </c>
      <c r="G30" s="52">
        <f t="shared" ref="G30:G35" si="2">SUM(D30:F30)</f>
        <v>7764</v>
      </c>
    </row>
    <row r="31" spans="3:7" customFormat="1" ht="14.4" x14ac:dyDescent="0.3">
      <c r="C31" s="57" t="s">
        <v>112</v>
      </c>
      <c r="D31" s="51">
        <v>789</v>
      </c>
      <c r="E31" s="51">
        <v>987</v>
      </c>
      <c r="F31" s="51">
        <v>543</v>
      </c>
      <c r="G31" s="52">
        <f t="shared" si="2"/>
        <v>2319</v>
      </c>
    </row>
    <row r="32" spans="3:7" customFormat="1" ht="14.4" x14ac:dyDescent="0.3">
      <c r="C32" s="57" t="s">
        <v>113</v>
      </c>
      <c r="D32" s="51">
        <v>123</v>
      </c>
      <c r="E32" s="51">
        <v>327</v>
      </c>
      <c r="F32" s="51">
        <v>765</v>
      </c>
      <c r="G32" s="52">
        <f t="shared" si="2"/>
        <v>1215</v>
      </c>
    </row>
    <row r="33" spans="1:7" customFormat="1" ht="14.4" x14ac:dyDescent="0.3">
      <c r="C33" s="57" t="s">
        <v>114</v>
      </c>
      <c r="D33" s="51">
        <v>654</v>
      </c>
      <c r="E33" s="51">
        <v>896</v>
      </c>
      <c r="F33" s="51">
        <v>345</v>
      </c>
      <c r="G33" s="52">
        <f t="shared" si="2"/>
        <v>1895</v>
      </c>
    </row>
    <row r="34" spans="1:7" customFormat="1" ht="14.4" x14ac:dyDescent="0.3">
      <c r="C34" s="57" t="s">
        <v>115</v>
      </c>
      <c r="D34" s="51">
        <v>234</v>
      </c>
      <c r="E34" s="51">
        <v>876</v>
      </c>
      <c r="F34" s="51">
        <v>1234</v>
      </c>
      <c r="G34" s="52">
        <f t="shared" si="2"/>
        <v>2344</v>
      </c>
    </row>
    <row r="35" spans="1:7" customFormat="1" ht="14.4" x14ac:dyDescent="0.3">
      <c r="C35" s="57" t="s">
        <v>116</v>
      </c>
      <c r="D35" s="51">
        <v>789</v>
      </c>
      <c r="E35" s="51">
        <v>987</v>
      </c>
      <c r="F35" s="51">
        <v>874</v>
      </c>
      <c r="G35" s="52">
        <f t="shared" si="2"/>
        <v>2650</v>
      </c>
    </row>
    <row r="36" spans="1:7" customFormat="1" ht="14.4" x14ac:dyDescent="0.3">
      <c r="C36" s="53" t="s">
        <v>100</v>
      </c>
      <c r="D36" s="54">
        <f>SUBTOTAL(9,D29:D35)</f>
        <v>3612</v>
      </c>
      <c r="E36" s="54">
        <f>SUBTOTAL(9,E29:E35)</f>
        <v>5492</v>
      </c>
      <c r="F36" s="54">
        <f>SUBTOTAL(9,F29:F35)</f>
        <v>18069</v>
      </c>
      <c r="G36" s="54">
        <f>SUBTOTAL(9,G29:G35)</f>
        <v>27173</v>
      </c>
    </row>
    <row r="37" spans="1:7" customFormat="1" ht="14.4" x14ac:dyDescent="0.3">
      <c r="C37" s="27"/>
      <c r="D37" s="25"/>
      <c r="E37" s="25"/>
      <c r="F37" s="25"/>
      <c r="G37" s="25"/>
    </row>
    <row r="38" spans="1:7" customFormat="1" ht="14.4" x14ac:dyDescent="0.3">
      <c r="C38" s="58" t="s">
        <v>117</v>
      </c>
      <c r="D38" s="59"/>
      <c r="E38" s="59"/>
      <c r="F38" s="59"/>
      <c r="G38" s="59">
        <f>SUM(G16,G26,G36)</f>
        <v>77936</v>
      </c>
    </row>
    <row r="39" spans="1:7" customFormat="1" ht="14.4" x14ac:dyDescent="0.3"/>
    <row r="40" spans="1:7" customFormat="1" ht="14.4" x14ac:dyDescent="0.3"/>
    <row r="41" spans="1:7" s="23" customFormat="1" ht="15.6" x14ac:dyDescent="0.3">
      <c r="A41" s="22"/>
      <c r="B41" s="23" t="s">
        <v>88</v>
      </c>
    </row>
    <row r="42" spans="1:7" customFormat="1" ht="14.4" x14ac:dyDescent="0.3"/>
    <row r="43" spans="1:7" customFormat="1" ht="14.4" x14ac:dyDescent="0.3">
      <c r="B43" s="24" t="s">
        <v>330</v>
      </c>
      <c r="C43" s="25"/>
      <c r="D43" s="25"/>
      <c r="E43" s="25"/>
    </row>
    <row r="44" spans="1:7" customFormat="1" ht="14.4" x14ac:dyDescent="0.3">
      <c r="B44" s="26"/>
      <c r="C44" s="25"/>
      <c r="D44" s="25"/>
      <c r="E44" s="25"/>
    </row>
    <row r="45" spans="1:7" customFormat="1" ht="14.4" x14ac:dyDescent="0.3">
      <c r="B45" s="26"/>
      <c r="C45" s="26" t="s">
        <v>119</v>
      </c>
      <c r="D45" s="29">
        <v>3.67</v>
      </c>
      <c r="E45" s="25"/>
      <c r="F45" s="30" t="s">
        <v>120</v>
      </c>
    </row>
    <row r="46" spans="1:7" customFormat="1" ht="14.4" x14ac:dyDescent="0.3">
      <c r="B46" s="26"/>
      <c r="C46" s="25"/>
      <c r="D46" s="25"/>
      <c r="E46" s="25"/>
    </row>
    <row r="47" spans="1:7" customFormat="1" ht="14.4" x14ac:dyDescent="0.3">
      <c r="B47" s="25"/>
      <c r="C47" s="84" t="s">
        <v>121</v>
      </c>
      <c r="D47" s="86" t="s">
        <v>122</v>
      </c>
      <c r="E47" s="88" t="s">
        <v>123</v>
      </c>
    </row>
    <row r="48" spans="1:7" customFormat="1" ht="14.4" x14ac:dyDescent="0.3">
      <c r="B48" s="27"/>
      <c r="C48" s="85"/>
      <c r="D48" s="87"/>
      <c r="E48" s="89"/>
    </row>
    <row r="49" spans="1:5" customFormat="1" ht="14.4" x14ac:dyDescent="0.3">
      <c r="B49" s="27"/>
      <c r="C49" s="31" t="s">
        <v>124</v>
      </c>
      <c r="D49" s="32">
        <v>650</v>
      </c>
      <c r="E49" s="33">
        <f>D49*$D$45</f>
        <v>2385.5</v>
      </c>
    </row>
    <row r="50" spans="1:5" customFormat="1" ht="14.4" x14ac:dyDescent="0.3">
      <c r="B50" s="27"/>
      <c r="C50" s="31" t="s">
        <v>125</v>
      </c>
      <c r="D50" s="32">
        <v>890</v>
      </c>
      <c r="E50" s="33">
        <f>D50*$D$45</f>
        <v>3266.2999999999997</v>
      </c>
    </row>
    <row r="51" spans="1:5" customFormat="1" ht="14.4" x14ac:dyDescent="0.3">
      <c r="B51" s="27"/>
      <c r="C51" s="31" t="s">
        <v>126</v>
      </c>
      <c r="D51" s="32">
        <v>2500</v>
      </c>
      <c r="E51" s="33">
        <f>D51*$D$45</f>
        <v>9175</v>
      </c>
    </row>
    <row r="52" spans="1:5" customFormat="1" ht="14.4" x14ac:dyDescent="0.3">
      <c r="B52" s="27"/>
      <c r="C52" s="31" t="s">
        <v>127</v>
      </c>
      <c r="D52" s="32">
        <v>4650</v>
      </c>
      <c r="E52" s="33">
        <f t="shared" ref="E50:E58" si="3">D52*$D$45</f>
        <v>17065.5</v>
      </c>
    </row>
    <row r="53" spans="1:5" customFormat="1" ht="14.4" x14ac:dyDescent="0.3">
      <c r="B53" s="27"/>
      <c r="C53" s="31" t="s">
        <v>128</v>
      </c>
      <c r="D53" s="32">
        <v>641</v>
      </c>
      <c r="E53" s="33">
        <f t="shared" si="3"/>
        <v>2352.4699999999998</v>
      </c>
    </row>
    <row r="54" spans="1:5" customFormat="1" ht="14.4" x14ac:dyDescent="0.3">
      <c r="B54" s="27"/>
      <c r="C54" s="31" t="s">
        <v>129</v>
      </c>
      <c r="D54" s="32">
        <v>1536</v>
      </c>
      <c r="E54" s="33">
        <f t="shared" si="3"/>
        <v>5637.12</v>
      </c>
    </row>
    <row r="55" spans="1:5" customFormat="1" ht="14.4" x14ac:dyDescent="0.3">
      <c r="B55" s="27"/>
      <c r="C55" s="31" t="s">
        <v>130</v>
      </c>
      <c r="D55" s="32">
        <v>3251</v>
      </c>
      <c r="E55" s="33">
        <f t="shared" si="3"/>
        <v>11931.17</v>
      </c>
    </row>
    <row r="56" spans="1:5" customFormat="1" ht="14.4" x14ac:dyDescent="0.3">
      <c r="B56" s="25"/>
      <c r="C56" s="31" t="s">
        <v>131</v>
      </c>
      <c r="D56" s="32">
        <v>9500</v>
      </c>
      <c r="E56" s="33">
        <f t="shared" si="3"/>
        <v>34865</v>
      </c>
    </row>
    <row r="57" spans="1:5" customFormat="1" ht="14.4" x14ac:dyDescent="0.3">
      <c r="B57" s="25"/>
      <c r="C57" s="31" t="s">
        <v>132</v>
      </c>
      <c r="D57" s="32">
        <v>566</v>
      </c>
      <c r="E57" s="33">
        <f t="shared" si="3"/>
        <v>2077.2199999999998</v>
      </c>
    </row>
    <row r="58" spans="1:5" customFormat="1" ht="14.4" x14ac:dyDescent="0.3">
      <c r="B58" s="25"/>
      <c r="C58" s="34" t="s">
        <v>133</v>
      </c>
      <c r="D58" s="35">
        <v>1455</v>
      </c>
      <c r="E58" s="33">
        <f t="shared" si="3"/>
        <v>5339.8499999999995</v>
      </c>
    </row>
    <row r="60" spans="1:5" s="23" customFormat="1" ht="15.6" x14ac:dyDescent="0.3">
      <c r="A60" s="22"/>
      <c r="B60" s="23" t="s">
        <v>118</v>
      </c>
    </row>
    <row r="66" spans="2:11" ht="15.6" customHeight="1" x14ac:dyDescent="0.3"/>
    <row r="67" spans="2:11" ht="15" customHeight="1" thickBot="1" x14ac:dyDescent="0.35">
      <c r="B67" s="40" t="s">
        <v>137</v>
      </c>
      <c r="C67" s="40" t="s">
        <v>138</v>
      </c>
      <c r="D67" s="40" t="s">
        <v>139</v>
      </c>
      <c r="E67" s="40" t="s">
        <v>140</v>
      </c>
      <c r="F67" s="41" t="s">
        <v>141</v>
      </c>
      <c r="G67" s="42" t="s">
        <v>142</v>
      </c>
      <c r="H67" s="43" t="s">
        <v>143</v>
      </c>
      <c r="I67"/>
      <c r="J67" s="36" t="s">
        <v>144</v>
      </c>
      <c r="K67" s="37"/>
    </row>
    <row r="68" spans="2:11" ht="16.2" thickBot="1" x14ac:dyDescent="0.35">
      <c r="B68" s="46" t="s">
        <v>145</v>
      </c>
      <c r="C68" s="60" t="s">
        <v>146</v>
      </c>
      <c r="D68" s="46" t="s">
        <v>147</v>
      </c>
      <c r="E68" s="44" t="s">
        <v>148</v>
      </c>
      <c r="F68" s="45">
        <v>1001</v>
      </c>
      <c r="G68" s="63" t="str">
        <f>IF(F68&lt;=1000,"Pedir",IF(F68&lt;2000,"Correcto",0))</f>
        <v>Correcto</v>
      </c>
      <c r="H68" s="64">
        <f>IF(G68="Pedir",ABS(SUM(-2000,F68)),0)</f>
        <v>0</v>
      </c>
      <c r="I68"/>
      <c r="J68" s="37"/>
      <c r="K68" s="61" t="s">
        <v>149</v>
      </c>
    </row>
    <row r="69" spans="2:11" thickBot="1" x14ac:dyDescent="0.35">
      <c r="B69" s="46" t="s">
        <v>150</v>
      </c>
      <c r="C69" s="46" t="s">
        <v>146</v>
      </c>
      <c r="D69" s="46" t="s">
        <v>147</v>
      </c>
      <c r="E69" s="44" t="s">
        <v>151</v>
      </c>
      <c r="F69" s="45">
        <v>1500</v>
      </c>
      <c r="G69" s="63" t="str">
        <f t="shared" ref="G69:G112" si="4">IF(F69&lt;=1000,"Pedir",IF(F69&lt;2000,"Correcto",0))</f>
        <v>Correcto</v>
      </c>
      <c r="H69" s="64">
        <f t="shared" ref="H69:H112" si="5">IF(G69="Pedir",ABS(SUM(-2000,F69)),0)</f>
        <v>0</v>
      </c>
      <c r="I69"/>
      <c r="J69" s="62" t="s">
        <v>152</v>
      </c>
      <c r="K69" s="62" t="s">
        <v>153</v>
      </c>
    </row>
    <row r="70" spans="2:11" thickBot="1" x14ac:dyDescent="0.35">
      <c r="B70" s="46" t="s">
        <v>154</v>
      </c>
      <c r="C70" s="46" t="s">
        <v>146</v>
      </c>
      <c r="D70" s="46" t="s">
        <v>155</v>
      </c>
      <c r="E70" s="44" t="s">
        <v>156</v>
      </c>
      <c r="F70" s="45">
        <v>990</v>
      </c>
      <c r="G70" s="63" t="str">
        <f t="shared" si="4"/>
        <v>Pedir</v>
      </c>
      <c r="H70" s="64">
        <f t="shared" si="5"/>
        <v>1010</v>
      </c>
      <c r="I70"/>
      <c r="J70" s="62" t="s">
        <v>157</v>
      </c>
      <c r="K70" s="62" t="s">
        <v>158</v>
      </c>
    </row>
    <row r="71" spans="2:11" ht="14.4" x14ac:dyDescent="0.3">
      <c r="B71" s="46" t="s">
        <v>159</v>
      </c>
      <c r="C71" s="46" t="s">
        <v>160</v>
      </c>
      <c r="D71" s="46" t="s">
        <v>155</v>
      </c>
      <c r="E71" s="44" t="s">
        <v>161</v>
      </c>
      <c r="F71" s="45">
        <v>1152.6666666666699</v>
      </c>
      <c r="G71" s="63" t="str">
        <f t="shared" si="4"/>
        <v>Correcto</v>
      </c>
      <c r="H71" s="64">
        <f t="shared" si="5"/>
        <v>0</v>
      </c>
      <c r="I71"/>
      <c r="J71" s="25"/>
      <c r="K71" s="25"/>
    </row>
    <row r="72" spans="2:11" ht="14.4" x14ac:dyDescent="0.3">
      <c r="B72" s="46" t="s">
        <v>162</v>
      </c>
      <c r="C72" s="46" t="s">
        <v>160</v>
      </c>
      <c r="D72" s="46" t="s">
        <v>155</v>
      </c>
      <c r="E72" s="44" t="s">
        <v>151</v>
      </c>
      <c r="F72" s="45">
        <v>1147.1666666666699</v>
      </c>
      <c r="G72" s="63" t="str">
        <f t="shared" si="4"/>
        <v>Correcto</v>
      </c>
      <c r="H72" s="64">
        <f t="shared" si="5"/>
        <v>0</v>
      </c>
      <c r="I72"/>
      <c r="J72" s="25"/>
      <c r="K72" s="25"/>
    </row>
    <row r="73" spans="2:11" ht="21.6" x14ac:dyDescent="0.3">
      <c r="B73" s="46" t="s">
        <v>163</v>
      </c>
      <c r="C73" s="46" t="s">
        <v>164</v>
      </c>
      <c r="D73" s="46" t="s">
        <v>155</v>
      </c>
      <c r="E73" s="44" t="s">
        <v>156</v>
      </c>
      <c r="F73" s="45">
        <v>3000</v>
      </c>
      <c r="G73" s="63">
        <f t="shared" si="4"/>
        <v>0</v>
      </c>
      <c r="H73" s="64">
        <f t="shared" si="5"/>
        <v>0</v>
      </c>
      <c r="I73"/>
      <c r="J73"/>
      <c r="K73"/>
    </row>
    <row r="74" spans="2:11" ht="21.6" x14ac:dyDescent="0.3">
      <c r="B74" s="46" t="s">
        <v>165</v>
      </c>
      <c r="C74" s="46" t="s">
        <v>164</v>
      </c>
      <c r="D74" s="46" t="s">
        <v>166</v>
      </c>
      <c r="E74" s="44" t="s">
        <v>167</v>
      </c>
      <c r="F74" s="45">
        <v>550</v>
      </c>
      <c r="G74" s="63" t="str">
        <f t="shared" si="4"/>
        <v>Pedir</v>
      </c>
      <c r="H74" s="64">
        <f t="shared" si="5"/>
        <v>1450</v>
      </c>
      <c r="I74"/>
      <c r="J74"/>
      <c r="K74"/>
    </row>
    <row r="75" spans="2:11" ht="21.6" x14ac:dyDescent="0.3">
      <c r="B75" s="46" t="s">
        <v>168</v>
      </c>
      <c r="C75" s="46" t="s">
        <v>164</v>
      </c>
      <c r="D75" s="46" t="s">
        <v>155</v>
      </c>
      <c r="E75" s="44" t="s">
        <v>169</v>
      </c>
      <c r="F75" s="45">
        <v>420</v>
      </c>
      <c r="G75" s="63" t="str">
        <f t="shared" si="4"/>
        <v>Pedir</v>
      </c>
      <c r="H75" s="64">
        <f t="shared" si="5"/>
        <v>1580</v>
      </c>
      <c r="I75"/>
      <c r="J75"/>
      <c r="K75"/>
    </row>
    <row r="76" spans="2:11" ht="14.4" x14ac:dyDescent="0.3">
      <c r="B76" s="46" t="s">
        <v>170</v>
      </c>
      <c r="C76" s="46" t="s">
        <v>171</v>
      </c>
      <c r="D76" s="46" t="s">
        <v>109</v>
      </c>
      <c r="E76" s="44" t="s">
        <v>167</v>
      </c>
      <c r="F76" s="45">
        <v>1125.1666666666699</v>
      </c>
      <c r="G76" s="63" t="str">
        <f t="shared" si="4"/>
        <v>Correcto</v>
      </c>
      <c r="H76" s="64">
        <f t="shared" si="5"/>
        <v>0</v>
      </c>
      <c r="I76"/>
      <c r="J76"/>
      <c r="K76"/>
    </row>
    <row r="77" spans="2:11" ht="14.4" x14ac:dyDescent="0.3">
      <c r="B77" s="46" t="s">
        <v>172</v>
      </c>
      <c r="C77" s="46" t="s">
        <v>171</v>
      </c>
      <c r="D77" s="46" t="s">
        <v>173</v>
      </c>
      <c r="E77" s="44" t="s">
        <v>151</v>
      </c>
      <c r="F77" s="45">
        <v>1119.6666666666699</v>
      </c>
      <c r="G77" s="63" t="str">
        <f t="shared" si="4"/>
        <v>Correcto</v>
      </c>
      <c r="H77" s="64">
        <f t="shared" si="5"/>
        <v>0</v>
      </c>
      <c r="I77"/>
      <c r="J77"/>
      <c r="K77"/>
    </row>
    <row r="78" spans="2:11" ht="21.6" x14ac:dyDescent="0.3">
      <c r="B78" s="46" t="s">
        <v>174</v>
      </c>
      <c r="C78" s="46" t="s">
        <v>175</v>
      </c>
      <c r="D78" s="46" t="s">
        <v>176</v>
      </c>
      <c r="E78" s="44" t="s">
        <v>161</v>
      </c>
      <c r="F78" s="45">
        <v>1114.1666666666699</v>
      </c>
      <c r="G78" s="63" t="str">
        <f t="shared" si="4"/>
        <v>Correcto</v>
      </c>
      <c r="H78" s="64">
        <f t="shared" si="5"/>
        <v>0</v>
      </c>
      <c r="I78"/>
      <c r="J78" s="37"/>
      <c r="K78"/>
    </row>
    <row r="79" spans="2:11" ht="21.6" x14ac:dyDescent="0.3">
      <c r="B79" s="46" t="s">
        <v>177</v>
      </c>
      <c r="C79" s="46" t="s">
        <v>175</v>
      </c>
      <c r="D79" s="46" t="s">
        <v>176</v>
      </c>
      <c r="E79" s="44" t="s">
        <v>167</v>
      </c>
      <c r="F79" s="45">
        <v>530</v>
      </c>
      <c r="G79" s="63" t="str">
        <f t="shared" si="4"/>
        <v>Pedir</v>
      </c>
      <c r="H79" s="64">
        <f t="shared" si="5"/>
        <v>1470</v>
      </c>
      <c r="I79"/>
      <c r="J79"/>
      <c r="K79"/>
    </row>
    <row r="80" spans="2:11" ht="15.6" x14ac:dyDescent="0.3">
      <c r="B80" s="46" t="s">
        <v>178</v>
      </c>
      <c r="C80" s="46" t="s">
        <v>179</v>
      </c>
      <c r="D80" s="46" t="s">
        <v>173</v>
      </c>
      <c r="E80" s="44" t="s">
        <v>148</v>
      </c>
      <c r="F80" s="45">
        <v>1103.1666666666699</v>
      </c>
      <c r="G80" s="63" t="str">
        <f t="shared" si="4"/>
        <v>Correcto</v>
      </c>
      <c r="H80" s="64">
        <f t="shared" si="5"/>
        <v>0</v>
      </c>
      <c r="I80"/>
      <c r="J80" s="37"/>
      <c r="K80" s="37"/>
    </row>
    <row r="81" spans="2:11" ht="15.6" x14ac:dyDescent="0.3">
      <c r="B81" s="46" t="s">
        <v>180</v>
      </c>
      <c r="C81" s="46" t="s">
        <v>179</v>
      </c>
      <c r="D81" s="46" t="s">
        <v>166</v>
      </c>
      <c r="E81" s="44" t="s">
        <v>181</v>
      </c>
      <c r="F81" s="45">
        <v>1097.6666666666699</v>
      </c>
      <c r="G81" s="63" t="str">
        <f t="shared" si="4"/>
        <v>Correcto</v>
      </c>
      <c r="H81" s="64">
        <f t="shared" si="5"/>
        <v>0</v>
      </c>
      <c r="I81"/>
      <c r="J81" s="37"/>
      <c r="K81" s="37"/>
    </row>
    <row r="82" spans="2:11" ht="15.6" x14ac:dyDescent="0.3">
      <c r="B82" s="46" t="s">
        <v>182</v>
      </c>
      <c r="C82" s="46" t="s">
        <v>179</v>
      </c>
      <c r="D82" s="46" t="s">
        <v>155</v>
      </c>
      <c r="E82" s="44" t="s">
        <v>156</v>
      </c>
      <c r="F82" s="45">
        <v>740</v>
      </c>
      <c r="G82" s="63" t="str">
        <f t="shared" si="4"/>
        <v>Pedir</v>
      </c>
      <c r="H82" s="64">
        <f t="shared" si="5"/>
        <v>1260</v>
      </c>
      <c r="I82"/>
      <c r="J82" s="37"/>
      <c r="K82" s="37"/>
    </row>
    <row r="83" spans="2:11" ht="15.6" x14ac:dyDescent="0.3">
      <c r="B83" s="46" t="s">
        <v>183</v>
      </c>
      <c r="C83" s="46" t="s">
        <v>184</v>
      </c>
      <c r="D83" s="46" t="s">
        <v>185</v>
      </c>
      <c r="E83" s="44" t="s">
        <v>161</v>
      </c>
      <c r="F83" s="45">
        <v>1086.6666666666699</v>
      </c>
      <c r="G83" s="63" t="str">
        <f t="shared" si="4"/>
        <v>Correcto</v>
      </c>
      <c r="H83" s="64">
        <f t="shared" si="5"/>
        <v>0</v>
      </c>
      <c r="I83"/>
      <c r="J83" s="37"/>
      <c r="K83" s="37"/>
    </row>
    <row r="84" spans="2:11" ht="15.6" x14ac:dyDescent="0.3">
      <c r="B84" s="46" t="s">
        <v>186</v>
      </c>
      <c r="C84" s="46" t="s">
        <v>184</v>
      </c>
      <c r="D84" s="46" t="s">
        <v>109</v>
      </c>
      <c r="E84" s="44" t="s">
        <v>167</v>
      </c>
      <c r="F84" s="45">
        <v>860</v>
      </c>
      <c r="G84" s="63" t="str">
        <f t="shared" si="4"/>
        <v>Pedir</v>
      </c>
      <c r="H84" s="64">
        <f t="shared" si="5"/>
        <v>1140</v>
      </c>
      <c r="I84"/>
      <c r="J84" s="37"/>
      <c r="K84" s="37"/>
    </row>
    <row r="85" spans="2:11" ht="15.6" x14ac:dyDescent="0.3">
      <c r="B85" s="46" t="s">
        <v>187</v>
      </c>
      <c r="C85" s="46" t="s">
        <v>184</v>
      </c>
      <c r="D85" s="46" t="s">
        <v>173</v>
      </c>
      <c r="E85" s="44" t="s">
        <v>167</v>
      </c>
      <c r="F85" s="45">
        <v>1075.6666666666699</v>
      </c>
      <c r="G85" s="63" t="str">
        <f t="shared" si="4"/>
        <v>Correcto</v>
      </c>
      <c r="H85" s="64">
        <f t="shared" si="5"/>
        <v>0</v>
      </c>
      <c r="I85"/>
      <c r="J85" s="37"/>
      <c r="K85" s="37"/>
    </row>
    <row r="86" spans="2:11" ht="15.6" x14ac:dyDescent="0.3">
      <c r="B86" s="46" t="s">
        <v>188</v>
      </c>
      <c r="C86" s="46" t="s">
        <v>189</v>
      </c>
      <c r="D86" s="46" t="s">
        <v>185</v>
      </c>
      <c r="E86" s="44" t="s">
        <v>181</v>
      </c>
      <c r="F86" s="45">
        <v>1070.1666666666699</v>
      </c>
      <c r="G86" s="63" t="str">
        <f t="shared" si="4"/>
        <v>Correcto</v>
      </c>
      <c r="H86" s="64">
        <f t="shared" si="5"/>
        <v>0</v>
      </c>
      <c r="I86"/>
      <c r="J86" s="37"/>
      <c r="K86" s="37"/>
    </row>
    <row r="87" spans="2:11" ht="15.6" x14ac:dyDescent="0.3">
      <c r="B87" s="46" t="s">
        <v>190</v>
      </c>
      <c r="C87" s="46" t="s">
        <v>189</v>
      </c>
      <c r="D87" s="46" t="s">
        <v>185</v>
      </c>
      <c r="E87" s="44" t="s">
        <v>148</v>
      </c>
      <c r="F87" s="45">
        <v>2340</v>
      </c>
      <c r="G87" s="63">
        <f t="shared" si="4"/>
        <v>0</v>
      </c>
      <c r="H87" s="64">
        <f t="shared" si="5"/>
        <v>0</v>
      </c>
      <c r="I87"/>
      <c r="J87" s="37"/>
      <c r="K87" s="37"/>
    </row>
    <row r="88" spans="2:11" ht="15.6" x14ac:dyDescent="0.3">
      <c r="B88" s="46" t="s">
        <v>191</v>
      </c>
      <c r="C88" s="46" t="s">
        <v>189</v>
      </c>
      <c r="D88" s="46" t="s">
        <v>185</v>
      </c>
      <c r="E88" s="44" t="s">
        <v>169</v>
      </c>
      <c r="F88" s="45">
        <v>3440</v>
      </c>
      <c r="G88" s="63">
        <f t="shared" si="4"/>
        <v>0</v>
      </c>
      <c r="H88" s="64">
        <f t="shared" si="5"/>
        <v>0</v>
      </c>
      <c r="I88"/>
      <c r="J88" s="37"/>
      <c r="K88" s="37"/>
    </row>
    <row r="89" spans="2:11" ht="21.6" x14ac:dyDescent="0.3">
      <c r="B89" s="46" t="s">
        <v>192</v>
      </c>
      <c r="C89" s="46" t="s">
        <v>193</v>
      </c>
      <c r="D89" s="46" t="s">
        <v>194</v>
      </c>
      <c r="E89" s="44" t="s">
        <v>151</v>
      </c>
      <c r="F89" s="45">
        <v>1650</v>
      </c>
      <c r="G89" s="63" t="str">
        <f t="shared" si="4"/>
        <v>Correcto</v>
      </c>
      <c r="H89" s="64">
        <f t="shared" si="5"/>
        <v>0</v>
      </c>
      <c r="I89"/>
      <c r="J89" s="37"/>
      <c r="K89" s="37"/>
    </row>
    <row r="90" spans="2:11" ht="15.6" x14ac:dyDescent="0.3">
      <c r="B90" s="46" t="s">
        <v>195</v>
      </c>
      <c r="C90" s="46" t="s">
        <v>193</v>
      </c>
      <c r="D90" s="46" t="s">
        <v>194</v>
      </c>
      <c r="E90" s="44" t="s">
        <v>167</v>
      </c>
      <c r="F90" s="45">
        <v>690</v>
      </c>
      <c r="G90" s="63" t="str">
        <f t="shared" si="4"/>
        <v>Pedir</v>
      </c>
      <c r="H90" s="64">
        <f t="shared" si="5"/>
        <v>1310</v>
      </c>
      <c r="I90"/>
      <c r="J90" s="37"/>
      <c r="K90" s="37"/>
    </row>
    <row r="91" spans="2:11" ht="15.6" x14ac:dyDescent="0.3">
      <c r="B91" s="46" t="s">
        <v>196</v>
      </c>
      <c r="C91" s="46" t="s">
        <v>197</v>
      </c>
      <c r="D91" s="46" t="s">
        <v>147</v>
      </c>
      <c r="E91" s="44" t="s">
        <v>169</v>
      </c>
      <c r="F91" s="45">
        <v>780</v>
      </c>
      <c r="G91" s="63" t="str">
        <f t="shared" si="4"/>
        <v>Pedir</v>
      </c>
      <c r="H91" s="64">
        <f t="shared" si="5"/>
        <v>1220</v>
      </c>
      <c r="I91"/>
      <c r="J91" s="37"/>
      <c r="K91" s="37"/>
    </row>
    <row r="92" spans="2:11" ht="21.6" x14ac:dyDescent="0.3">
      <c r="B92" s="46" t="s">
        <v>198</v>
      </c>
      <c r="C92" s="46" t="s">
        <v>199</v>
      </c>
      <c r="D92" s="46" t="s">
        <v>185</v>
      </c>
      <c r="E92" s="44" t="s">
        <v>151</v>
      </c>
      <c r="F92" s="45">
        <v>340</v>
      </c>
      <c r="G92" s="63" t="str">
        <f t="shared" si="4"/>
        <v>Pedir</v>
      </c>
      <c r="H92" s="64">
        <f t="shared" si="5"/>
        <v>1660</v>
      </c>
      <c r="I92"/>
      <c r="J92" s="37"/>
      <c r="K92" s="37"/>
    </row>
    <row r="93" spans="2:11" ht="21.6" x14ac:dyDescent="0.3">
      <c r="B93" s="46" t="s">
        <v>200</v>
      </c>
      <c r="C93" s="46" t="s">
        <v>199</v>
      </c>
      <c r="D93" s="46" t="s">
        <v>185</v>
      </c>
      <c r="E93" s="44" t="s">
        <v>181</v>
      </c>
      <c r="F93" s="45">
        <v>1540</v>
      </c>
      <c r="G93" s="63" t="str">
        <f t="shared" si="4"/>
        <v>Correcto</v>
      </c>
      <c r="H93" s="64">
        <f t="shared" si="5"/>
        <v>0</v>
      </c>
      <c r="I93"/>
      <c r="J93" s="37"/>
      <c r="K93" s="37"/>
    </row>
    <row r="94" spans="2:11" ht="21.6" x14ac:dyDescent="0.3">
      <c r="B94" s="46" t="s">
        <v>201</v>
      </c>
      <c r="C94" s="46" t="s">
        <v>199</v>
      </c>
      <c r="D94" s="46" t="s">
        <v>185</v>
      </c>
      <c r="E94" s="44" t="s">
        <v>151</v>
      </c>
      <c r="F94" s="45">
        <v>2650</v>
      </c>
      <c r="G94" s="63">
        <f t="shared" si="4"/>
        <v>0</v>
      </c>
      <c r="H94" s="64">
        <f t="shared" si="5"/>
        <v>0</v>
      </c>
      <c r="I94"/>
      <c r="J94" s="37"/>
      <c r="K94" s="37"/>
    </row>
    <row r="95" spans="2:11" ht="21.6" x14ac:dyDescent="0.3">
      <c r="B95" s="46" t="s">
        <v>202</v>
      </c>
      <c r="C95" s="46" t="s">
        <v>203</v>
      </c>
      <c r="D95" s="46" t="s">
        <v>166</v>
      </c>
      <c r="E95" s="44" t="s">
        <v>167</v>
      </c>
      <c r="F95" s="45">
        <v>780</v>
      </c>
      <c r="G95" s="63" t="str">
        <f t="shared" si="4"/>
        <v>Pedir</v>
      </c>
      <c r="H95" s="64">
        <f t="shared" si="5"/>
        <v>1220</v>
      </c>
      <c r="I95"/>
      <c r="J95" s="37"/>
      <c r="K95" s="37"/>
    </row>
    <row r="96" spans="2:11" ht="21.6" x14ac:dyDescent="0.3">
      <c r="B96" s="46" t="s">
        <v>204</v>
      </c>
      <c r="C96" s="46" t="s">
        <v>203</v>
      </c>
      <c r="D96" s="46" t="s">
        <v>109</v>
      </c>
      <c r="E96" s="44" t="s">
        <v>181</v>
      </c>
      <c r="F96" s="45">
        <v>1015.16666666667</v>
      </c>
      <c r="G96" s="63" t="str">
        <f t="shared" si="4"/>
        <v>Correcto</v>
      </c>
      <c r="H96" s="64">
        <f t="shared" si="5"/>
        <v>0</v>
      </c>
      <c r="I96"/>
      <c r="J96" s="37"/>
      <c r="K96" s="37"/>
    </row>
    <row r="97" spans="2:11" ht="21.6" x14ac:dyDescent="0.3">
      <c r="B97" s="46" t="s">
        <v>205</v>
      </c>
      <c r="C97" s="46" t="s">
        <v>206</v>
      </c>
      <c r="D97" s="46" t="s">
        <v>173</v>
      </c>
      <c r="E97" s="44" t="s">
        <v>148</v>
      </c>
      <c r="F97" s="45">
        <v>1009.66666666667</v>
      </c>
      <c r="G97" s="63" t="str">
        <f t="shared" si="4"/>
        <v>Correcto</v>
      </c>
      <c r="H97" s="64">
        <f t="shared" si="5"/>
        <v>0</v>
      </c>
      <c r="I97"/>
      <c r="J97" s="37"/>
      <c r="K97" s="37"/>
    </row>
    <row r="98" spans="2:11" ht="15.6" x14ac:dyDescent="0.3">
      <c r="B98" s="46" t="s">
        <v>207</v>
      </c>
      <c r="C98" s="46" t="s">
        <v>208</v>
      </c>
      <c r="D98" s="46" t="s">
        <v>176</v>
      </c>
      <c r="E98" s="44" t="s">
        <v>167</v>
      </c>
      <c r="F98" s="45">
        <v>1004.16666666667</v>
      </c>
      <c r="G98" s="63" t="str">
        <f t="shared" si="4"/>
        <v>Correcto</v>
      </c>
      <c r="H98" s="64">
        <f t="shared" si="5"/>
        <v>0</v>
      </c>
      <c r="I98"/>
      <c r="J98" s="37"/>
      <c r="K98" s="37"/>
    </row>
    <row r="99" spans="2:11" ht="15.6" x14ac:dyDescent="0.3">
      <c r="B99" s="46" t="s">
        <v>209</v>
      </c>
      <c r="C99" s="46" t="s">
        <v>208</v>
      </c>
      <c r="D99" s="46" t="s">
        <v>176</v>
      </c>
      <c r="E99" s="44" t="s">
        <v>148</v>
      </c>
      <c r="F99" s="45">
        <v>998.66666666666799</v>
      </c>
      <c r="G99" s="63" t="str">
        <f t="shared" si="4"/>
        <v>Pedir</v>
      </c>
      <c r="H99" s="64">
        <f t="shared" si="5"/>
        <v>1001.333333333332</v>
      </c>
      <c r="I99"/>
      <c r="J99" s="37"/>
      <c r="K99" s="37"/>
    </row>
    <row r="100" spans="2:11" ht="15.6" x14ac:dyDescent="0.3">
      <c r="B100" s="46" t="s">
        <v>210</v>
      </c>
      <c r="C100" s="46" t="s">
        <v>211</v>
      </c>
      <c r="D100" s="46" t="s">
        <v>176</v>
      </c>
      <c r="E100" s="44" t="s">
        <v>151</v>
      </c>
      <c r="F100" s="45">
        <v>1300</v>
      </c>
      <c r="G100" s="63" t="str">
        <f t="shared" si="4"/>
        <v>Correcto</v>
      </c>
      <c r="H100" s="64">
        <f t="shared" si="5"/>
        <v>0</v>
      </c>
      <c r="I100"/>
      <c r="J100" s="37"/>
      <c r="K100" s="37"/>
    </row>
    <row r="101" spans="2:11" ht="15.6" x14ac:dyDescent="0.3">
      <c r="B101" s="46" t="s">
        <v>212</v>
      </c>
      <c r="C101" s="46" t="s">
        <v>213</v>
      </c>
      <c r="D101" s="46" t="s">
        <v>147</v>
      </c>
      <c r="E101" s="44" t="s">
        <v>151</v>
      </c>
      <c r="F101" s="45">
        <v>1210</v>
      </c>
      <c r="G101" s="63" t="str">
        <f t="shared" si="4"/>
        <v>Correcto</v>
      </c>
      <c r="H101" s="64">
        <f t="shared" si="5"/>
        <v>0</v>
      </c>
      <c r="I101"/>
      <c r="J101" s="37"/>
      <c r="K101" s="37"/>
    </row>
    <row r="102" spans="2:11" ht="15.6" x14ac:dyDescent="0.3">
      <c r="B102" s="46" t="s">
        <v>214</v>
      </c>
      <c r="C102" s="46" t="s">
        <v>213</v>
      </c>
      <c r="D102" s="46" t="s">
        <v>147</v>
      </c>
      <c r="E102" s="44" t="s">
        <v>151</v>
      </c>
      <c r="F102" s="45">
        <v>982.16666666666799</v>
      </c>
      <c r="G102" s="63" t="str">
        <f t="shared" si="4"/>
        <v>Pedir</v>
      </c>
      <c r="H102" s="64">
        <f t="shared" si="5"/>
        <v>1017.833333333332</v>
      </c>
      <c r="I102"/>
      <c r="J102" s="37"/>
      <c r="K102" s="37"/>
    </row>
    <row r="103" spans="2:11" ht="15.6" x14ac:dyDescent="0.3">
      <c r="B103" s="46" t="s">
        <v>215</v>
      </c>
      <c r="C103" s="46" t="s">
        <v>216</v>
      </c>
      <c r="D103" s="46" t="s">
        <v>173</v>
      </c>
      <c r="E103" s="44" t="s">
        <v>167</v>
      </c>
      <c r="F103" s="45">
        <v>1500</v>
      </c>
      <c r="G103" s="63" t="str">
        <f t="shared" si="4"/>
        <v>Correcto</v>
      </c>
      <c r="H103" s="64">
        <f t="shared" si="5"/>
        <v>0</v>
      </c>
      <c r="I103"/>
      <c r="J103" s="37"/>
      <c r="K103" s="37"/>
    </row>
    <row r="104" spans="2:11" ht="15.6" x14ac:dyDescent="0.3">
      <c r="B104" s="46" t="s">
        <v>217</v>
      </c>
      <c r="C104" s="46" t="s">
        <v>216</v>
      </c>
      <c r="D104" s="46" t="s">
        <v>173</v>
      </c>
      <c r="E104" s="44" t="s">
        <v>151</v>
      </c>
      <c r="F104" s="45">
        <v>1650</v>
      </c>
      <c r="G104" s="63" t="str">
        <f t="shared" si="4"/>
        <v>Correcto</v>
      </c>
      <c r="H104" s="64">
        <f t="shared" si="5"/>
        <v>0</v>
      </c>
      <c r="I104"/>
      <c r="J104" s="37"/>
      <c r="K104" s="37"/>
    </row>
    <row r="105" spans="2:11" ht="15.6" x14ac:dyDescent="0.3">
      <c r="B105" s="46" t="s">
        <v>218</v>
      </c>
      <c r="C105" s="46" t="s">
        <v>219</v>
      </c>
      <c r="D105" s="46" t="s">
        <v>147</v>
      </c>
      <c r="E105" s="44" t="s">
        <v>148</v>
      </c>
      <c r="F105" s="45">
        <v>1050</v>
      </c>
      <c r="G105" s="63" t="str">
        <f t="shared" si="4"/>
        <v>Correcto</v>
      </c>
      <c r="H105" s="64">
        <f t="shared" si="5"/>
        <v>0</v>
      </c>
      <c r="I105"/>
      <c r="J105" s="37"/>
      <c r="K105" s="37"/>
    </row>
    <row r="106" spans="2:11" ht="15.6" x14ac:dyDescent="0.3">
      <c r="B106" s="46" t="s">
        <v>220</v>
      </c>
      <c r="C106" s="46" t="s">
        <v>219</v>
      </c>
      <c r="D106" s="46" t="s">
        <v>147</v>
      </c>
      <c r="E106" s="44" t="s">
        <v>169</v>
      </c>
      <c r="F106" s="45">
        <v>960</v>
      </c>
      <c r="G106" s="63" t="str">
        <f t="shared" si="4"/>
        <v>Pedir</v>
      </c>
      <c r="H106" s="64">
        <f t="shared" si="5"/>
        <v>1040</v>
      </c>
      <c r="I106"/>
      <c r="J106" s="37"/>
      <c r="K106" s="37"/>
    </row>
    <row r="107" spans="2:11" ht="21.6" x14ac:dyDescent="0.3">
      <c r="B107" s="46" t="s">
        <v>221</v>
      </c>
      <c r="C107" s="46" t="s">
        <v>222</v>
      </c>
      <c r="D107" s="46" t="s">
        <v>173</v>
      </c>
      <c r="E107" s="44" t="s">
        <v>181</v>
      </c>
      <c r="F107" s="45">
        <v>2050</v>
      </c>
      <c r="G107" s="63">
        <f t="shared" si="4"/>
        <v>0</v>
      </c>
      <c r="H107" s="64">
        <f t="shared" si="5"/>
        <v>0</v>
      </c>
      <c r="I107"/>
      <c r="J107" s="37"/>
      <c r="K107" s="37"/>
    </row>
    <row r="108" spans="2:11" ht="21.6" x14ac:dyDescent="0.3">
      <c r="B108" s="46" t="s">
        <v>223</v>
      </c>
      <c r="C108" s="46" t="s">
        <v>222</v>
      </c>
      <c r="D108" s="46" t="s">
        <v>173</v>
      </c>
      <c r="E108" s="44" t="s">
        <v>161</v>
      </c>
      <c r="F108" s="45">
        <v>1456</v>
      </c>
      <c r="G108" s="63" t="str">
        <f t="shared" si="4"/>
        <v>Correcto</v>
      </c>
      <c r="H108" s="64">
        <f t="shared" si="5"/>
        <v>0</v>
      </c>
      <c r="I108"/>
      <c r="J108" s="37"/>
      <c r="K108" s="37"/>
    </row>
    <row r="109" spans="2:11" ht="15.6" x14ac:dyDescent="0.3">
      <c r="B109" s="46" t="s">
        <v>224</v>
      </c>
      <c r="C109" s="46" t="s">
        <v>225</v>
      </c>
      <c r="D109" s="46" t="s">
        <v>194</v>
      </c>
      <c r="E109" s="44" t="s">
        <v>161</v>
      </c>
      <c r="F109" s="45">
        <v>2345</v>
      </c>
      <c r="G109" s="63">
        <f t="shared" si="4"/>
        <v>0</v>
      </c>
      <c r="H109" s="64">
        <f t="shared" si="5"/>
        <v>0</v>
      </c>
      <c r="I109"/>
      <c r="J109" s="37"/>
      <c r="K109" s="37"/>
    </row>
    <row r="110" spans="2:11" ht="15.6" x14ac:dyDescent="0.3">
      <c r="B110" s="46" t="s">
        <v>226</v>
      </c>
      <c r="C110" s="46" t="s">
        <v>225</v>
      </c>
      <c r="D110" s="46" t="s">
        <v>147</v>
      </c>
      <c r="E110" s="44" t="s">
        <v>148</v>
      </c>
      <c r="F110" s="45">
        <v>354</v>
      </c>
      <c r="G110" s="63" t="str">
        <f t="shared" si="4"/>
        <v>Pedir</v>
      </c>
      <c r="H110" s="64">
        <f t="shared" si="5"/>
        <v>1646</v>
      </c>
      <c r="I110"/>
      <c r="J110" s="37"/>
      <c r="K110" s="37"/>
    </row>
    <row r="111" spans="2:11" ht="15.6" x14ac:dyDescent="0.3">
      <c r="B111" s="46" t="s">
        <v>227</v>
      </c>
      <c r="C111" s="46" t="s">
        <v>225</v>
      </c>
      <c r="D111" s="46" t="s">
        <v>155</v>
      </c>
      <c r="E111" s="44" t="s">
        <v>156</v>
      </c>
      <c r="F111" s="45">
        <v>690</v>
      </c>
      <c r="G111" s="63" t="str">
        <f t="shared" si="4"/>
        <v>Pedir</v>
      </c>
      <c r="H111" s="64">
        <f t="shared" si="5"/>
        <v>1310</v>
      </c>
      <c r="I111"/>
      <c r="J111" s="37"/>
      <c r="K111" s="37"/>
    </row>
    <row r="112" spans="2:11" ht="15.6" x14ac:dyDescent="0.3">
      <c r="B112" s="46" t="s">
        <v>228</v>
      </c>
      <c r="C112" s="46" t="s">
        <v>229</v>
      </c>
      <c r="D112" s="46" t="s">
        <v>173</v>
      </c>
      <c r="E112" s="44" t="s">
        <v>148</v>
      </c>
      <c r="F112" s="45">
        <v>2700</v>
      </c>
      <c r="G112" s="63">
        <f t="shared" si="4"/>
        <v>0</v>
      </c>
      <c r="H112" s="64">
        <f t="shared" si="5"/>
        <v>0</v>
      </c>
      <c r="I112"/>
      <c r="J112" s="37"/>
      <c r="K112" s="37"/>
    </row>
    <row r="114" spans="1:10" s="23" customFormat="1" ht="15.6" x14ac:dyDescent="0.3">
      <c r="A114" s="22"/>
      <c r="B114" s="23" t="s">
        <v>231</v>
      </c>
    </row>
    <row r="120" spans="1:10" ht="15" customHeight="1" thickBot="1" x14ac:dyDescent="0.35"/>
    <row r="121" spans="1:10" ht="27" thickBot="1" x14ac:dyDescent="0.35">
      <c r="B121" s="68" t="s">
        <v>232</v>
      </c>
      <c r="C121" s="68" t="s">
        <v>233</v>
      </c>
      <c r="D121" s="68" t="s">
        <v>234</v>
      </c>
      <c r="E121" s="65" t="s">
        <v>235</v>
      </c>
      <c r="F121" s="65" t="s">
        <v>236</v>
      </c>
      <c r="G121" s="25"/>
      <c r="H121" s="38" t="s">
        <v>237</v>
      </c>
      <c r="I121" s="38" t="s">
        <v>238</v>
      </c>
      <c r="J121" s="25"/>
    </row>
    <row r="122" spans="1:10" ht="15" customHeight="1" thickBot="1" x14ac:dyDescent="0.35">
      <c r="B122" s="71" t="s">
        <v>239</v>
      </c>
      <c r="C122" s="69" t="s">
        <v>240</v>
      </c>
      <c r="D122" s="70">
        <v>300000</v>
      </c>
      <c r="E122" s="66">
        <f>VLOOKUP(C122,$H$122:$I$126,2,0)</f>
        <v>0.14799999999999999</v>
      </c>
      <c r="F122" s="99">
        <f>D122*E122</f>
        <v>44400</v>
      </c>
      <c r="G122" s="25"/>
      <c r="H122" s="67" t="s">
        <v>240</v>
      </c>
      <c r="I122" s="39">
        <v>0.14799999999999999</v>
      </c>
      <c r="J122" s="25"/>
    </row>
    <row r="123" spans="1:10" ht="15" customHeight="1" thickBot="1" x14ac:dyDescent="0.35">
      <c r="B123" s="71" t="s">
        <v>241</v>
      </c>
      <c r="C123" s="69" t="s">
        <v>242</v>
      </c>
      <c r="D123" s="70">
        <v>160000</v>
      </c>
      <c r="E123" s="66">
        <f>VLOOKUP(C123,$H$122:$I$126,2,0)</f>
        <v>0.13900000000000001</v>
      </c>
      <c r="F123" s="99">
        <f t="shared" ref="F123:F133" si="6">D123*E123</f>
        <v>22240.000000000004</v>
      </c>
      <c r="G123" s="25"/>
      <c r="H123" s="67" t="s">
        <v>243</v>
      </c>
      <c r="I123" s="39">
        <v>0.13400000000000001</v>
      </c>
      <c r="J123" s="25"/>
    </row>
    <row r="124" spans="1:10" ht="15" customHeight="1" thickBot="1" x14ac:dyDescent="0.35">
      <c r="B124" s="71" t="s">
        <v>244</v>
      </c>
      <c r="C124" s="69" t="s">
        <v>240</v>
      </c>
      <c r="D124" s="70">
        <v>200000</v>
      </c>
      <c r="E124" s="66">
        <f t="shared" ref="E123:E133" si="7">VLOOKUP(C124,$H$122:$I$126,2,0)</f>
        <v>0.14799999999999999</v>
      </c>
      <c r="F124" s="99">
        <f t="shared" si="6"/>
        <v>29600</v>
      </c>
      <c r="G124" s="25"/>
      <c r="H124" s="67" t="s">
        <v>245</v>
      </c>
      <c r="I124" s="39">
        <v>0.14599999999999999</v>
      </c>
      <c r="J124" s="25"/>
    </row>
    <row r="125" spans="1:10" ht="15" customHeight="1" thickBot="1" x14ac:dyDescent="0.35">
      <c r="B125" s="71" t="s">
        <v>246</v>
      </c>
      <c r="C125" s="69" t="s">
        <v>242</v>
      </c>
      <c r="D125" s="70">
        <v>250000</v>
      </c>
      <c r="E125" s="66">
        <f t="shared" si="7"/>
        <v>0.13900000000000001</v>
      </c>
      <c r="F125" s="99">
        <f t="shared" si="6"/>
        <v>34750</v>
      </c>
      <c r="G125" s="25"/>
      <c r="H125" s="67" t="s">
        <v>242</v>
      </c>
      <c r="I125" s="39">
        <v>0.13900000000000001</v>
      </c>
      <c r="J125" s="25"/>
    </row>
    <row r="126" spans="1:10" ht="15" customHeight="1" thickBot="1" x14ac:dyDescent="0.35">
      <c r="B126" s="71" t="s">
        <v>247</v>
      </c>
      <c r="C126" s="69" t="s">
        <v>245</v>
      </c>
      <c r="D126" s="70">
        <v>550000</v>
      </c>
      <c r="E126" s="66">
        <f t="shared" si="7"/>
        <v>0.14599999999999999</v>
      </c>
      <c r="F126" s="99">
        <f t="shared" si="6"/>
        <v>80300</v>
      </c>
      <c r="G126" s="25"/>
      <c r="H126" s="67" t="s">
        <v>248</v>
      </c>
      <c r="I126" s="39">
        <v>0.1234</v>
      </c>
      <c r="J126" s="25"/>
    </row>
    <row r="127" spans="1:10" ht="15" customHeight="1" x14ac:dyDescent="0.3">
      <c r="B127" s="71" t="s">
        <v>249</v>
      </c>
      <c r="C127" s="69" t="s">
        <v>243</v>
      </c>
      <c r="D127" s="70">
        <v>250000</v>
      </c>
      <c r="E127" s="66">
        <f t="shared" si="7"/>
        <v>0.13400000000000001</v>
      </c>
      <c r="F127" s="99">
        <f t="shared" si="6"/>
        <v>33500</v>
      </c>
      <c r="G127" s="25"/>
      <c r="H127" s="25"/>
      <c r="I127" s="25"/>
      <c r="J127" s="25"/>
    </row>
    <row r="128" spans="1:10" ht="15" customHeight="1" x14ac:dyDescent="0.3">
      <c r="B128" s="71" t="s">
        <v>250</v>
      </c>
      <c r="C128" s="69" t="s">
        <v>248</v>
      </c>
      <c r="D128" s="70">
        <v>350000</v>
      </c>
      <c r="E128" s="66">
        <f t="shared" si="7"/>
        <v>0.1234</v>
      </c>
      <c r="F128" s="99">
        <f t="shared" si="6"/>
        <v>43190</v>
      </c>
      <c r="G128" s="25"/>
      <c r="H128" s="25"/>
      <c r="I128" s="25"/>
      <c r="J128" s="25"/>
    </row>
    <row r="129" spans="2:10" ht="15" customHeight="1" x14ac:dyDescent="0.3">
      <c r="B129" s="71" t="s">
        <v>251</v>
      </c>
      <c r="C129" s="69" t="s">
        <v>240</v>
      </c>
      <c r="D129" s="70">
        <v>850000</v>
      </c>
      <c r="E129" s="66">
        <f t="shared" si="7"/>
        <v>0.14799999999999999</v>
      </c>
      <c r="F129" s="99">
        <f t="shared" si="6"/>
        <v>125800</v>
      </c>
      <c r="G129" s="25"/>
      <c r="H129" s="25"/>
      <c r="I129" s="25"/>
      <c r="J129" s="25"/>
    </row>
    <row r="130" spans="2:10" ht="15" customHeight="1" x14ac:dyDescent="0.3">
      <c r="B130" s="71" t="s">
        <v>252</v>
      </c>
      <c r="C130" s="69" t="s">
        <v>242</v>
      </c>
      <c r="D130" s="70">
        <v>230000</v>
      </c>
      <c r="E130" s="66">
        <f t="shared" si="7"/>
        <v>0.13900000000000001</v>
      </c>
      <c r="F130" s="99">
        <f t="shared" si="6"/>
        <v>31970.000000000004</v>
      </c>
      <c r="G130" s="25"/>
      <c r="H130" s="25"/>
      <c r="I130" s="25"/>
      <c r="J130" s="25"/>
    </row>
    <row r="131" spans="2:10" ht="15" customHeight="1" x14ac:dyDescent="0.3">
      <c r="B131" s="71" t="s">
        <v>253</v>
      </c>
      <c r="C131" s="69" t="s">
        <v>245</v>
      </c>
      <c r="D131" s="70">
        <v>260000</v>
      </c>
      <c r="E131" s="66">
        <f t="shared" si="7"/>
        <v>0.14599999999999999</v>
      </c>
      <c r="F131" s="99">
        <f t="shared" si="6"/>
        <v>37960</v>
      </c>
      <c r="G131" s="25"/>
      <c r="H131" s="25"/>
      <c r="I131" s="25"/>
      <c r="J131" s="25"/>
    </row>
    <row r="132" spans="2:10" ht="15" customHeight="1" x14ac:dyDescent="0.3">
      <c r="B132" s="71" t="s">
        <v>254</v>
      </c>
      <c r="C132" s="69" t="s">
        <v>243</v>
      </c>
      <c r="D132" s="70">
        <v>400000</v>
      </c>
      <c r="E132" s="66">
        <f t="shared" si="7"/>
        <v>0.13400000000000001</v>
      </c>
      <c r="F132" s="99">
        <f t="shared" si="6"/>
        <v>53600</v>
      </c>
      <c r="G132" s="25"/>
      <c r="H132" s="25"/>
      <c r="I132" s="25"/>
      <c r="J132" s="25"/>
    </row>
    <row r="133" spans="2:10" ht="15" customHeight="1" x14ac:dyDescent="0.3">
      <c r="B133" s="71" t="s">
        <v>255</v>
      </c>
      <c r="C133" s="69" t="s">
        <v>248</v>
      </c>
      <c r="D133" s="70">
        <v>500000</v>
      </c>
      <c r="E133" s="66">
        <f t="shared" si="7"/>
        <v>0.1234</v>
      </c>
      <c r="F133" s="99">
        <f t="shared" si="6"/>
        <v>61700</v>
      </c>
      <c r="G133" s="25"/>
      <c r="H133" s="25"/>
      <c r="I133" s="25"/>
      <c r="J133" s="25"/>
    </row>
  </sheetData>
  <mergeCells count="4">
    <mergeCell ref="C47:C48"/>
    <mergeCell ref="D47:D48"/>
    <mergeCell ref="E47:E48"/>
    <mergeCell ref="B1:M2"/>
  </mergeCells>
  <conditionalFormatting sqref="F122:F133">
    <cfRule type="cellIs" dxfId="0" priority="1" operator="between">
      <formula>30000</formula>
      <formula>50000</formula>
    </cfRule>
  </conditionalFormatting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59C7-02D6-4B72-AF55-CEB569D6C2FD}">
  <sheetPr filterMode="1"/>
  <dimension ref="A1:AC44"/>
  <sheetViews>
    <sheetView showGridLines="0" zoomScale="115" zoomScaleNormal="115" workbookViewId="0">
      <selection activeCell="A5" sqref="A5:J35"/>
    </sheetView>
  </sheetViews>
  <sheetFormatPr baseColWidth="10" defaultRowHeight="14.4" x14ac:dyDescent="0.3"/>
  <cols>
    <col min="1" max="1" width="14.109375" customWidth="1"/>
    <col min="9" max="9" width="13.44140625" customWidth="1"/>
  </cols>
  <sheetData>
    <row r="1" spans="1:29" s="14" customFormat="1" ht="25.5" customHeight="1" x14ac:dyDescent="0.55000000000000004">
      <c r="A1" s="11"/>
      <c r="B1" s="83" t="s">
        <v>256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47"/>
      <c r="O1" s="47"/>
      <c r="P1" s="47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55000000000000004">
      <c r="A2" s="11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47"/>
      <c r="O2" s="47"/>
      <c r="P2" s="47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5" spans="1:29" ht="20.399999999999999" x14ac:dyDescent="0.3">
      <c r="A5" s="78" t="s">
        <v>257</v>
      </c>
      <c r="B5" s="78" t="s">
        <v>3</v>
      </c>
      <c r="C5" s="78" t="s">
        <v>258</v>
      </c>
      <c r="D5" s="78" t="s">
        <v>259</v>
      </c>
      <c r="E5" s="78" t="s">
        <v>260</v>
      </c>
      <c r="F5" s="78" t="s">
        <v>261</v>
      </c>
      <c r="G5" s="79" t="s">
        <v>262</v>
      </c>
      <c r="H5" s="78" t="s">
        <v>263</v>
      </c>
      <c r="I5" s="80" t="s">
        <v>6</v>
      </c>
      <c r="J5" s="80" t="s">
        <v>264</v>
      </c>
      <c r="L5" s="81" t="s">
        <v>327</v>
      </c>
    </row>
    <row r="6" spans="1:29" hidden="1" x14ac:dyDescent="0.3">
      <c r="A6" s="72" t="s">
        <v>314</v>
      </c>
      <c r="B6" s="72" t="s">
        <v>289</v>
      </c>
      <c r="C6" s="72">
        <v>43707</v>
      </c>
      <c r="D6" s="73" t="s">
        <v>282</v>
      </c>
      <c r="E6" s="74" t="s">
        <v>267</v>
      </c>
      <c r="F6" s="75" t="s">
        <v>272</v>
      </c>
      <c r="G6" s="74">
        <v>2019</v>
      </c>
      <c r="H6" s="76">
        <v>39200</v>
      </c>
      <c r="I6" s="77" t="s">
        <v>7</v>
      </c>
      <c r="J6" s="77">
        <v>11</v>
      </c>
      <c r="L6" t="s">
        <v>326</v>
      </c>
    </row>
    <row r="7" spans="1:29" x14ac:dyDescent="0.3">
      <c r="A7" s="72" t="s">
        <v>279</v>
      </c>
      <c r="B7" s="72" t="s">
        <v>275</v>
      </c>
      <c r="C7" s="72">
        <v>43812</v>
      </c>
      <c r="D7" s="73" t="s">
        <v>278</v>
      </c>
      <c r="E7" s="74" t="s">
        <v>267</v>
      </c>
      <c r="F7" s="75" t="s">
        <v>268</v>
      </c>
      <c r="G7" s="74">
        <v>2019</v>
      </c>
      <c r="H7" s="76">
        <v>58000</v>
      </c>
      <c r="I7" s="77" t="s">
        <v>273</v>
      </c>
      <c r="J7" s="77">
        <v>10</v>
      </c>
      <c r="L7" t="s">
        <v>328</v>
      </c>
    </row>
    <row r="8" spans="1:29" hidden="1" x14ac:dyDescent="0.3">
      <c r="A8" s="72" t="s">
        <v>280</v>
      </c>
      <c r="B8" s="72" t="s">
        <v>281</v>
      </c>
      <c r="C8" s="72">
        <v>43858</v>
      </c>
      <c r="D8" s="73" t="s">
        <v>282</v>
      </c>
      <c r="E8" s="74" t="s">
        <v>271</v>
      </c>
      <c r="F8" s="75" t="s">
        <v>283</v>
      </c>
      <c r="G8" s="74">
        <v>2020</v>
      </c>
      <c r="H8" s="76">
        <v>62006</v>
      </c>
      <c r="I8" s="77" t="s">
        <v>273</v>
      </c>
      <c r="J8" s="77">
        <v>10</v>
      </c>
      <c r="L8" t="s">
        <v>329</v>
      </c>
    </row>
    <row r="9" spans="1:29" x14ac:dyDescent="0.3">
      <c r="A9" s="72" t="s">
        <v>318</v>
      </c>
      <c r="B9" s="72" t="s">
        <v>287</v>
      </c>
      <c r="C9" s="72">
        <v>43831</v>
      </c>
      <c r="D9" s="73" t="s">
        <v>266</v>
      </c>
      <c r="E9" s="74" t="s">
        <v>271</v>
      </c>
      <c r="F9" s="75" t="s">
        <v>268</v>
      </c>
      <c r="G9" s="74">
        <v>2020</v>
      </c>
      <c r="H9" s="76">
        <v>73500</v>
      </c>
      <c r="I9" s="77" t="s">
        <v>319</v>
      </c>
      <c r="J9" s="77">
        <v>9</v>
      </c>
    </row>
    <row r="10" spans="1:29" x14ac:dyDescent="0.3">
      <c r="A10" s="72" t="s">
        <v>274</v>
      </c>
      <c r="B10" s="72" t="s">
        <v>275</v>
      </c>
      <c r="C10" s="72">
        <v>43758</v>
      </c>
      <c r="D10" s="73" t="s">
        <v>266</v>
      </c>
      <c r="E10" s="74" t="s">
        <v>267</v>
      </c>
      <c r="F10" s="75" t="s">
        <v>268</v>
      </c>
      <c r="G10" s="74">
        <v>2019</v>
      </c>
      <c r="H10" s="76">
        <v>32006</v>
      </c>
      <c r="I10" s="77" t="s">
        <v>276</v>
      </c>
      <c r="J10" s="77">
        <v>9</v>
      </c>
    </row>
    <row r="11" spans="1:29" hidden="1" x14ac:dyDescent="0.3">
      <c r="A11" s="72" t="s">
        <v>301</v>
      </c>
      <c r="B11" s="72" t="s">
        <v>4</v>
      </c>
      <c r="C11" s="72">
        <v>43900</v>
      </c>
      <c r="D11" s="73" t="s">
        <v>278</v>
      </c>
      <c r="E11" s="74" t="s">
        <v>267</v>
      </c>
      <c r="F11" s="75" t="s">
        <v>283</v>
      </c>
      <c r="G11" s="74">
        <v>2020</v>
      </c>
      <c r="H11" s="76">
        <v>65400</v>
      </c>
      <c r="I11" s="77" t="s">
        <v>276</v>
      </c>
      <c r="J11" s="77">
        <v>9</v>
      </c>
    </row>
    <row r="12" spans="1:29" hidden="1" x14ac:dyDescent="0.3">
      <c r="A12" s="72" t="s">
        <v>308</v>
      </c>
      <c r="B12" s="72" t="s">
        <v>309</v>
      </c>
      <c r="C12" s="72">
        <v>44037</v>
      </c>
      <c r="D12" s="73" t="s">
        <v>266</v>
      </c>
      <c r="E12" s="74" t="s">
        <v>271</v>
      </c>
      <c r="F12" s="75" t="s">
        <v>272</v>
      </c>
      <c r="G12" s="74">
        <v>2020</v>
      </c>
      <c r="H12" s="76">
        <v>92820</v>
      </c>
      <c r="I12" s="77" t="s">
        <v>276</v>
      </c>
      <c r="J12" s="77">
        <v>9</v>
      </c>
    </row>
    <row r="13" spans="1:29" x14ac:dyDescent="0.3">
      <c r="A13" s="72" t="s">
        <v>324</v>
      </c>
      <c r="B13" s="72" t="s">
        <v>309</v>
      </c>
      <c r="C13" s="72">
        <v>43809</v>
      </c>
      <c r="D13" s="73" t="s">
        <v>266</v>
      </c>
      <c r="E13" s="74" t="s">
        <v>271</v>
      </c>
      <c r="F13" s="75" t="s">
        <v>268</v>
      </c>
      <c r="G13" s="74">
        <v>2019</v>
      </c>
      <c r="H13" s="76">
        <v>70900</v>
      </c>
      <c r="I13" s="77" t="s">
        <v>319</v>
      </c>
      <c r="J13" s="77">
        <v>8</v>
      </c>
    </row>
    <row r="14" spans="1:29" hidden="1" x14ac:dyDescent="0.3">
      <c r="A14" s="72" t="s">
        <v>291</v>
      </c>
      <c r="B14" s="72" t="s">
        <v>275</v>
      </c>
      <c r="C14" s="72">
        <v>43792</v>
      </c>
      <c r="D14" s="73" t="s">
        <v>266</v>
      </c>
      <c r="E14" s="74" t="s">
        <v>267</v>
      </c>
      <c r="F14" s="75" t="s">
        <v>283</v>
      </c>
      <c r="G14" s="74">
        <v>2019</v>
      </c>
      <c r="H14" s="76">
        <v>43000</v>
      </c>
      <c r="I14" s="77" t="s">
        <v>276</v>
      </c>
      <c r="J14" s="77">
        <v>8</v>
      </c>
    </row>
    <row r="15" spans="1:29" x14ac:dyDescent="0.3">
      <c r="A15" s="72" t="s">
        <v>298</v>
      </c>
      <c r="B15" s="72" t="s">
        <v>270</v>
      </c>
      <c r="C15" s="72">
        <v>43708</v>
      </c>
      <c r="D15" s="73" t="s">
        <v>278</v>
      </c>
      <c r="E15" s="74" t="s">
        <v>271</v>
      </c>
      <c r="F15" s="75" t="s">
        <v>268</v>
      </c>
      <c r="G15" s="74">
        <v>2019</v>
      </c>
      <c r="H15" s="76">
        <v>85000</v>
      </c>
      <c r="I15" s="77" t="s">
        <v>276</v>
      </c>
      <c r="J15" s="77">
        <v>8</v>
      </c>
    </row>
    <row r="16" spans="1:29" x14ac:dyDescent="0.3">
      <c r="A16" s="72" t="s">
        <v>299</v>
      </c>
      <c r="B16" s="72" t="s">
        <v>287</v>
      </c>
      <c r="C16" s="72">
        <v>43727</v>
      </c>
      <c r="D16" s="73" t="s">
        <v>282</v>
      </c>
      <c r="E16" s="74" t="s">
        <v>271</v>
      </c>
      <c r="F16" s="75" t="s">
        <v>268</v>
      </c>
      <c r="G16" s="74">
        <v>2019</v>
      </c>
      <c r="H16" s="76">
        <v>44000</v>
      </c>
      <c r="I16" s="77" t="s">
        <v>276</v>
      </c>
      <c r="J16" s="77">
        <v>8</v>
      </c>
    </row>
    <row r="17" spans="1:10" x14ac:dyDescent="0.3">
      <c r="A17" s="72" t="s">
        <v>305</v>
      </c>
      <c r="B17" s="72" t="s">
        <v>289</v>
      </c>
      <c r="C17" s="72">
        <v>44057</v>
      </c>
      <c r="D17" s="73" t="s">
        <v>266</v>
      </c>
      <c r="E17" s="74" t="s">
        <v>267</v>
      </c>
      <c r="F17" s="75" t="s">
        <v>268</v>
      </c>
      <c r="G17" s="74">
        <v>2020</v>
      </c>
      <c r="H17" s="76">
        <v>51060</v>
      </c>
      <c r="I17" s="77" t="s">
        <v>276</v>
      </c>
      <c r="J17" s="77">
        <v>8</v>
      </c>
    </row>
    <row r="18" spans="1:10" hidden="1" x14ac:dyDescent="0.3">
      <c r="A18" s="72" t="s">
        <v>310</v>
      </c>
      <c r="B18" s="72" t="s">
        <v>309</v>
      </c>
      <c r="C18" s="72">
        <v>43897</v>
      </c>
      <c r="D18" s="73" t="s">
        <v>278</v>
      </c>
      <c r="E18" s="74" t="s">
        <v>271</v>
      </c>
      <c r="F18" s="75" t="s">
        <v>283</v>
      </c>
      <c r="G18" s="74">
        <v>2020</v>
      </c>
      <c r="H18" s="76">
        <v>51251</v>
      </c>
      <c r="I18" s="77" t="s">
        <v>311</v>
      </c>
      <c r="J18" s="77">
        <v>8</v>
      </c>
    </row>
    <row r="19" spans="1:10" x14ac:dyDescent="0.3">
      <c r="A19" s="72" t="s">
        <v>295</v>
      </c>
      <c r="B19" s="72" t="s">
        <v>8</v>
      </c>
      <c r="C19" s="72">
        <v>44034</v>
      </c>
      <c r="D19" s="73" t="s">
        <v>278</v>
      </c>
      <c r="E19" s="74" t="s">
        <v>267</v>
      </c>
      <c r="F19" s="75" t="s">
        <v>268</v>
      </c>
      <c r="G19" s="74">
        <v>2020</v>
      </c>
      <c r="H19" s="76">
        <v>70000</v>
      </c>
      <c r="I19" s="77" t="s">
        <v>7</v>
      </c>
      <c r="J19" s="77">
        <v>8</v>
      </c>
    </row>
    <row r="20" spans="1:10" hidden="1" x14ac:dyDescent="0.3">
      <c r="A20" s="72" t="s">
        <v>302</v>
      </c>
      <c r="B20" s="72" t="s">
        <v>4</v>
      </c>
      <c r="C20" s="72">
        <v>44084</v>
      </c>
      <c r="D20" s="73" t="s">
        <v>278</v>
      </c>
      <c r="E20" s="74" t="s">
        <v>267</v>
      </c>
      <c r="F20" s="75" t="s">
        <v>283</v>
      </c>
      <c r="G20" s="74">
        <v>2020</v>
      </c>
      <c r="H20" s="76">
        <v>55640</v>
      </c>
      <c r="I20" s="77" t="s">
        <v>276</v>
      </c>
      <c r="J20" s="77">
        <v>7</v>
      </c>
    </row>
    <row r="21" spans="1:10" x14ac:dyDescent="0.3">
      <c r="A21" s="72" t="s">
        <v>277</v>
      </c>
      <c r="B21" s="72" t="s">
        <v>4</v>
      </c>
      <c r="C21" s="72">
        <v>43885</v>
      </c>
      <c r="D21" s="73" t="s">
        <v>278</v>
      </c>
      <c r="E21" s="74" t="s">
        <v>267</v>
      </c>
      <c r="F21" s="75" t="s">
        <v>268</v>
      </c>
      <c r="G21" s="74">
        <v>2020</v>
      </c>
      <c r="H21" s="76">
        <v>45000</v>
      </c>
      <c r="I21" s="77" t="s">
        <v>7</v>
      </c>
      <c r="J21" s="77">
        <v>7</v>
      </c>
    </row>
    <row r="22" spans="1:10" hidden="1" x14ac:dyDescent="0.3">
      <c r="A22" s="72" t="s">
        <v>269</v>
      </c>
      <c r="B22" s="72" t="s">
        <v>270</v>
      </c>
      <c r="C22" s="72">
        <v>44076</v>
      </c>
      <c r="D22" s="73" t="s">
        <v>266</v>
      </c>
      <c r="E22" s="74" t="s">
        <v>271</v>
      </c>
      <c r="F22" s="75" t="s">
        <v>272</v>
      </c>
      <c r="G22" s="74">
        <v>2020</v>
      </c>
      <c r="H22" s="76">
        <v>54000</v>
      </c>
      <c r="I22" s="77" t="s">
        <v>273</v>
      </c>
      <c r="J22" s="77">
        <v>6</v>
      </c>
    </row>
    <row r="23" spans="1:10" hidden="1" x14ac:dyDescent="0.3">
      <c r="A23" s="72" t="s">
        <v>286</v>
      </c>
      <c r="B23" s="72" t="s">
        <v>287</v>
      </c>
      <c r="C23" s="72">
        <v>43908</v>
      </c>
      <c r="D23" s="73" t="s">
        <v>278</v>
      </c>
      <c r="E23" s="74" t="s">
        <v>271</v>
      </c>
      <c r="F23" s="75" t="s">
        <v>283</v>
      </c>
      <c r="G23" s="74">
        <v>2020</v>
      </c>
      <c r="H23" s="76">
        <v>123000</v>
      </c>
      <c r="I23" s="77" t="s">
        <v>273</v>
      </c>
      <c r="J23" s="77">
        <v>6</v>
      </c>
    </row>
    <row r="24" spans="1:10" hidden="1" x14ac:dyDescent="0.3">
      <c r="A24" s="72" t="s">
        <v>294</v>
      </c>
      <c r="B24" s="72" t="s">
        <v>293</v>
      </c>
      <c r="C24" s="72">
        <v>43607</v>
      </c>
      <c r="D24" s="73" t="s">
        <v>266</v>
      </c>
      <c r="E24" s="74" t="s">
        <v>267</v>
      </c>
      <c r="F24" s="75" t="s">
        <v>283</v>
      </c>
      <c r="G24" s="74">
        <v>2019</v>
      </c>
      <c r="H24" s="76">
        <v>130000</v>
      </c>
      <c r="I24" s="77" t="s">
        <v>273</v>
      </c>
      <c r="J24" s="77">
        <v>6</v>
      </c>
    </row>
    <row r="25" spans="1:10" hidden="1" x14ac:dyDescent="0.3">
      <c r="A25" s="72" t="s">
        <v>307</v>
      </c>
      <c r="B25" s="72" t="s">
        <v>275</v>
      </c>
      <c r="C25" s="72">
        <v>43845</v>
      </c>
      <c r="D25" s="73" t="s">
        <v>266</v>
      </c>
      <c r="E25" s="74" t="s">
        <v>267</v>
      </c>
      <c r="F25" s="75" t="s">
        <v>272</v>
      </c>
      <c r="G25" s="74">
        <v>2020</v>
      </c>
      <c r="H25" s="76">
        <v>85536</v>
      </c>
      <c r="I25" s="77" t="s">
        <v>276</v>
      </c>
      <c r="J25" s="77">
        <v>6</v>
      </c>
    </row>
    <row r="26" spans="1:10" hidden="1" x14ac:dyDescent="0.3">
      <c r="A26" s="72" t="s">
        <v>321</v>
      </c>
      <c r="B26" s="72" t="s">
        <v>275</v>
      </c>
      <c r="C26" s="72">
        <v>43803</v>
      </c>
      <c r="D26" s="73" t="s">
        <v>278</v>
      </c>
      <c r="E26" s="74" t="s">
        <v>267</v>
      </c>
      <c r="F26" s="75" t="s">
        <v>272</v>
      </c>
      <c r="G26" s="74">
        <v>2019</v>
      </c>
      <c r="H26" s="76">
        <v>45900</v>
      </c>
      <c r="I26" s="77" t="s">
        <v>322</v>
      </c>
      <c r="J26" s="77">
        <v>6</v>
      </c>
    </row>
    <row r="27" spans="1:10" hidden="1" x14ac:dyDescent="0.3">
      <c r="A27" s="72" t="s">
        <v>290</v>
      </c>
      <c r="B27" s="72" t="s">
        <v>289</v>
      </c>
      <c r="C27" s="72">
        <v>43905</v>
      </c>
      <c r="D27" s="73" t="s">
        <v>278</v>
      </c>
      <c r="E27" s="74" t="s">
        <v>267</v>
      </c>
      <c r="F27" s="75" t="s">
        <v>283</v>
      </c>
      <c r="G27" s="74">
        <v>2020</v>
      </c>
      <c r="H27" s="76">
        <v>65000</v>
      </c>
      <c r="I27" s="77" t="s">
        <v>273</v>
      </c>
      <c r="J27" s="77">
        <v>5</v>
      </c>
    </row>
    <row r="28" spans="1:10" hidden="1" x14ac:dyDescent="0.3">
      <c r="A28" s="72" t="s">
        <v>300</v>
      </c>
      <c r="B28" s="72" t="s">
        <v>287</v>
      </c>
      <c r="C28" s="72">
        <v>43951</v>
      </c>
      <c r="D28" s="73" t="s">
        <v>278</v>
      </c>
      <c r="E28" s="74" t="s">
        <v>271</v>
      </c>
      <c r="F28" s="75" t="s">
        <v>272</v>
      </c>
      <c r="G28" s="74">
        <v>2020</v>
      </c>
      <c r="H28" s="76">
        <v>46870</v>
      </c>
      <c r="I28" s="77" t="s">
        <v>276</v>
      </c>
      <c r="J28" s="77">
        <v>5</v>
      </c>
    </row>
    <row r="29" spans="1:10" x14ac:dyDescent="0.3">
      <c r="A29" s="72" t="s">
        <v>297</v>
      </c>
      <c r="B29" s="72" t="s">
        <v>293</v>
      </c>
      <c r="C29" s="72">
        <v>43981</v>
      </c>
      <c r="D29" s="73" t="s">
        <v>278</v>
      </c>
      <c r="E29" s="74" t="s">
        <v>267</v>
      </c>
      <c r="F29" s="75" t="s">
        <v>268</v>
      </c>
      <c r="G29" s="74">
        <v>2020</v>
      </c>
      <c r="H29" s="76">
        <v>65000</v>
      </c>
      <c r="I29" s="77" t="s">
        <v>7</v>
      </c>
      <c r="J29" s="77">
        <v>5</v>
      </c>
    </row>
    <row r="30" spans="1:10" hidden="1" x14ac:dyDescent="0.3">
      <c r="A30" s="72" t="s">
        <v>320</v>
      </c>
      <c r="B30" s="72" t="s">
        <v>281</v>
      </c>
      <c r="C30" s="72">
        <v>43849</v>
      </c>
      <c r="D30" s="73" t="s">
        <v>282</v>
      </c>
      <c r="E30" s="74" t="s">
        <v>271</v>
      </c>
      <c r="F30" s="75" t="s">
        <v>283</v>
      </c>
      <c r="G30" s="74">
        <v>2020</v>
      </c>
      <c r="H30" s="76">
        <v>32400</v>
      </c>
      <c r="I30" s="77" t="s">
        <v>273</v>
      </c>
      <c r="J30" s="77">
        <v>4</v>
      </c>
    </row>
    <row r="31" spans="1:10" x14ac:dyDescent="0.3">
      <c r="A31" s="72" t="s">
        <v>292</v>
      </c>
      <c r="B31" s="72" t="s">
        <v>293</v>
      </c>
      <c r="C31" s="72">
        <v>43784</v>
      </c>
      <c r="D31" s="73" t="s">
        <v>278</v>
      </c>
      <c r="E31" s="74" t="s">
        <v>267</v>
      </c>
      <c r="F31" s="75" t="s">
        <v>268</v>
      </c>
      <c r="G31" s="74">
        <v>2019</v>
      </c>
      <c r="H31" s="76">
        <v>78000</v>
      </c>
      <c r="I31" s="77" t="s">
        <v>285</v>
      </c>
      <c r="J31" s="77">
        <v>4</v>
      </c>
    </row>
    <row r="32" spans="1:10" hidden="1" x14ac:dyDescent="0.3">
      <c r="A32" s="72" t="s">
        <v>304</v>
      </c>
      <c r="B32" s="72" t="s">
        <v>293</v>
      </c>
      <c r="C32" s="72">
        <v>44025</v>
      </c>
      <c r="D32" s="73" t="s">
        <v>266</v>
      </c>
      <c r="E32" s="74" t="s">
        <v>267</v>
      </c>
      <c r="F32" s="75" t="s">
        <v>283</v>
      </c>
      <c r="G32" s="74">
        <v>2020</v>
      </c>
      <c r="H32" s="76">
        <v>65720</v>
      </c>
      <c r="I32" s="77" t="s">
        <v>276</v>
      </c>
      <c r="J32" s="77">
        <v>4</v>
      </c>
    </row>
    <row r="33" spans="1:10" x14ac:dyDescent="0.3">
      <c r="A33" s="72" t="s">
        <v>325</v>
      </c>
      <c r="B33" s="72" t="s">
        <v>5</v>
      </c>
      <c r="C33" s="72">
        <v>43781</v>
      </c>
      <c r="D33" s="73" t="s">
        <v>266</v>
      </c>
      <c r="E33" s="74" t="s">
        <v>267</v>
      </c>
      <c r="F33" s="75" t="s">
        <v>268</v>
      </c>
      <c r="G33" s="74">
        <v>2019</v>
      </c>
      <c r="H33" s="76">
        <v>38500</v>
      </c>
      <c r="I33" s="77" t="s">
        <v>276</v>
      </c>
      <c r="J33" s="77">
        <v>4</v>
      </c>
    </row>
    <row r="34" spans="1:10" x14ac:dyDescent="0.3">
      <c r="A34" s="72" t="s">
        <v>288</v>
      </c>
      <c r="B34" s="72" t="s">
        <v>289</v>
      </c>
      <c r="C34" s="72">
        <v>43718</v>
      </c>
      <c r="D34" s="73" t="s">
        <v>282</v>
      </c>
      <c r="E34" s="74" t="s">
        <v>267</v>
      </c>
      <c r="F34" s="75" t="s">
        <v>268</v>
      </c>
      <c r="G34" s="74">
        <v>2019</v>
      </c>
      <c r="H34" s="76">
        <v>52006</v>
      </c>
      <c r="I34" s="77" t="s">
        <v>7</v>
      </c>
      <c r="J34" s="77">
        <v>4</v>
      </c>
    </row>
    <row r="35" spans="1:10" x14ac:dyDescent="0.3">
      <c r="A35" s="72" t="s">
        <v>316</v>
      </c>
      <c r="B35" s="72" t="s">
        <v>275</v>
      </c>
      <c r="C35" s="72">
        <v>43982</v>
      </c>
      <c r="D35" s="73" t="s">
        <v>282</v>
      </c>
      <c r="E35" s="74" t="s">
        <v>267</v>
      </c>
      <c r="F35" s="75" t="s">
        <v>268</v>
      </c>
      <c r="G35" s="74">
        <v>2020</v>
      </c>
      <c r="H35" s="76">
        <v>67900</v>
      </c>
      <c r="I35" s="77" t="s">
        <v>7</v>
      </c>
      <c r="J35" s="77">
        <v>4</v>
      </c>
    </row>
    <row r="36" spans="1:10" hidden="1" x14ac:dyDescent="0.3">
      <c r="A36" s="72" t="s">
        <v>284</v>
      </c>
      <c r="B36" s="72" t="s">
        <v>275</v>
      </c>
      <c r="C36" s="72">
        <v>43755</v>
      </c>
      <c r="D36" s="73" t="s">
        <v>266</v>
      </c>
      <c r="E36" s="74" t="s">
        <v>267</v>
      </c>
      <c r="F36" s="75" t="s">
        <v>268</v>
      </c>
      <c r="G36" s="74">
        <v>2019</v>
      </c>
      <c r="H36" s="76">
        <v>74000</v>
      </c>
      <c r="I36" s="77" t="s">
        <v>285</v>
      </c>
      <c r="J36" s="77">
        <v>3</v>
      </c>
    </row>
    <row r="37" spans="1:10" hidden="1" x14ac:dyDescent="0.3">
      <c r="A37" s="72" t="s">
        <v>306</v>
      </c>
      <c r="B37" s="72" t="s">
        <v>287</v>
      </c>
      <c r="C37" s="72">
        <v>43913</v>
      </c>
      <c r="D37" s="73" t="s">
        <v>282</v>
      </c>
      <c r="E37" s="74" t="s">
        <v>271</v>
      </c>
      <c r="F37" s="75" t="s">
        <v>272</v>
      </c>
      <c r="G37" s="74">
        <v>2020</v>
      </c>
      <c r="H37" s="76">
        <v>54508</v>
      </c>
      <c r="I37" s="77" t="s">
        <v>276</v>
      </c>
      <c r="J37" s="77">
        <v>3</v>
      </c>
    </row>
    <row r="38" spans="1:10" hidden="1" x14ac:dyDescent="0.3">
      <c r="A38" s="72" t="s">
        <v>265</v>
      </c>
      <c r="B38" s="72" t="s">
        <v>5</v>
      </c>
      <c r="C38" s="72">
        <v>43868</v>
      </c>
      <c r="D38" s="73" t="s">
        <v>266</v>
      </c>
      <c r="E38" s="74" t="s">
        <v>267</v>
      </c>
      <c r="F38" s="75" t="s">
        <v>268</v>
      </c>
      <c r="G38" s="74">
        <v>2020</v>
      </c>
      <c r="H38" s="76">
        <v>43000</v>
      </c>
      <c r="I38" s="77" t="s">
        <v>7</v>
      </c>
      <c r="J38" s="77">
        <v>3</v>
      </c>
    </row>
    <row r="39" spans="1:10" hidden="1" x14ac:dyDescent="0.3">
      <c r="A39" s="72" t="s">
        <v>323</v>
      </c>
      <c r="B39" s="72" t="s">
        <v>293</v>
      </c>
      <c r="C39" s="72">
        <v>43724</v>
      </c>
      <c r="D39" s="73" t="s">
        <v>282</v>
      </c>
      <c r="E39" s="74" t="s">
        <v>267</v>
      </c>
      <c r="F39" s="75" t="s">
        <v>268</v>
      </c>
      <c r="G39" s="74">
        <v>2019</v>
      </c>
      <c r="H39" s="76">
        <v>63100</v>
      </c>
      <c r="I39" s="77" t="s">
        <v>276</v>
      </c>
      <c r="J39" s="77">
        <v>2</v>
      </c>
    </row>
    <row r="40" spans="1:10" hidden="1" x14ac:dyDescent="0.3">
      <c r="A40" s="72" t="s">
        <v>312</v>
      </c>
      <c r="B40" s="72" t="s">
        <v>313</v>
      </c>
      <c r="C40" s="72">
        <v>43672</v>
      </c>
      <c r="D40" s="73" t="s">
        <v>266</v>
      </c>
      <c r="E40" s="74" t="s">
        <v>271</v>
      </c>
      <c r="F40" s="75" t="s">
        <v>268</v>
      </c>
      <c r="G40" s="74">
        <v>2019</v>
      </c>
      <c r="H40" s="76">
        <v>62402</v>
      </c>
      <c r="I40" s="77" t="s">
        <v>311</v>
      </c>
      <c r="J40" s="77">
        <v>2</v>
      </c>
    </row>
    <row r="41" spans="1:10" hidden="1" x14ac:dyDescent="0.3">
      <c r="A41" s="72" t="s">
        <v>317</v>
      </c>
      <c r="B41" s="72" t="s">
        <v>5</v>
      </c>
      <c r="C41" s="72">
        <v>44043</v>
      </c>
      <c r="D41" s="73" t="s">
        <v>266</v>
      </c>
      <c r="E41" s="74" t="s">
        <v>267</v>
      </c>
      <c r="F41" s="75" t="s">
        <v>268</v>
      </c>
      <c r="G41" s="74">
        <v>2020</v>
      </c>
      <c r="H41" s="76">
        <v>95500</v>
      </c>
      <c r="I41" s="77" t="s">
        <v>7</v>
      </c>
      <c r="J41" s="77">
        <v>2</v>
      </c>
    </row>
    <row r="42" spans="1:10" hidden="1" x14ac:dyDescent="0.3">
      <c r="A42" s="72" t="s">
        <v>303</v>
      </c>
      <c r="B42" s="72" t="s">
        <v>5</v>
      </c>
      <c r="C42" s="72">
        <v>43944</v>
      </c>
      <c r="D42" s="73" t="s">
        <v>266</v>
      </c>
      <c r="E42" s="74" t="s">
        <v>267</v>
      </c>
      <c r="F42" s="75" t="s">
        <v>272</v>
      </c>
      <c r="G42" s="74">
        <v>2020</v>
      </c>
      <c r="H42" s="76">
        <v>92650</v>
      </c>
      <c r="I42" s="77" t="s">
        <v>276</v>
      </c>
      <c r="J42" s="77">
        <v>1</v>
      </c>
    </row>
    <row r="43" spans="1:10" hidden="1" x14ac:dyDescent="0.3">
      <c r="A43" s="72" t="s">
        <v>296</v>
      </c>
      <c r="B43" s="72" t="s">
        <v>287</v>
      </c>
      <c r="C43" s="72">
        <v>43717</v>
      </c>
      <c r="D43" s="73" t="s">
        <v>282</v>
      </c>
      <c r="E43" s="74" t="s">
        <v>271</v>
      </c>
      <c r="F43" s="75" t="s">
        <v>272</v>
      </c>
      <c r="G43" s="74">
        <v>2019</v>
      </c>
      <c r="H43" s="76">
        <v>75000</v>
      </c>
      <c r="I43" s="77" t="s">
        <v>7</v>
      </c>
      <c r="J43" s="77">
        <v>1</v>
      </c>
    </row>
    <row r="44" spans="1:10" hidden="1" x14ac:dyDescent="0.3">
      <c r="A44" s="72" t="s">
        <v>315</v>
      </c>
      <c r="B44" s="72" t="s">
        <v>4</v>
      </c>
      <c r="C44" s="72">
        <v>43930</v>
      </c>
      <c r="D44" s="73" t="s">
        <v>266</v>
      </c>
      <c r="E44" s="74" t="s">
        <v>267</v>
      </c>
      <c r="F44" s="75" t="s">
        <v>272</v>
      </c>
      <c r="G44" s="74">
        <v>2020</v>
      </c>
      <c r="H44" s="76">
        <v>68900</v>
      </c>
      <c r="I44" s="77" t="s">
        <v>311</v>
      </c>
      <c r="J44" s="77">
        <v>0</v>
      </c>
    </row>
  </sheetData>
  <autoFilter ref="A5:J44" xr:uid="{1BEE59C7-02D6-4B72-AF55-CEB569D6C2FD}">
    <filterColumn colId="5">
      <filters>
        <filter val="Tarde"/>
      </filters>
    </filterColumn>
    <filterColumn colId="9">
      <customFilters>
        <customFilter operator="greaterThan" val="3"/>
      </customFilters>
    </filterColumn>
    <sortState xmlns:xlrd2="http://schemas.microsoft.com/office/spreadsheetml/2017/richdata2" ref="A6:J44">
      <sortCondition descending="1" ref="J6:J44"/>
      <sortCondition ref="I6:I44"/>
    </sortState>
  </autoFilter>
  <mergeCells count="1">
    <mergeCell ref="B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1.FUNCIONES AGREGADAS</vt:lpstr>
      <vt:lpstr>2.FORMATOS DE CELDA</vt:lpstr>
      <vt:lpstr>3.FORMULAS Y FUNCIONES</vt:lpstr>
      <vt:lpstr>4.TABLA Y FILTROS</vt:lpstr>
      <vt:lpstr>BD_Empleados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Crispín</dc:creator>
  <cp:lastModifiedBy>Sevilla Bravo, Carla Lucia, PLUZ</cp:lastModifiedBy>
  <dcterms:created xsi:type="dcterms:W3CDTF">2020-07-08T12:48:31Z</dcterms:created>
  <dcterms:modified xsi:type="dcterms:W3CDTF">2025-11-05T22:24:10Z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2025-11-05T21:51:08Z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6575cbfe-c543-4724-9360-ab4a5ccb744e</vt:lpwstr>
  </property>
  <property fmtid="{D5CDD505-2E9C-101B-9397-08002B2CF9AE}" pid="7" name="MSIP_Label_defa4170-0d19-0005-0004-bc88714345d2_ActionId">
    <vt:lpwstr>05a90738-65aa-45aa-9a54-627b217158cf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